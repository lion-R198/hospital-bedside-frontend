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接口清单" sheetId="1" r:id="rId3"/>
    <sheet name="前端测试用例" sheetId="2" r:id="rId4"/>
    <sheet name="数据表覆盖校验" sheetId="3" r:id="rId5"/>
    <sheet name="本地配置数据" sheetId="4" r:id="rId6"/>
    <sheet name="二次校验报告" sheetId="5" r:id="rId7"/>
    <sheet name="异常码对应表" sheetId="6" r:id="rId8"/>
  </sheets>
  <definedNames>
    <definedName name="_xlnm._FilterDatabase" localSheetId="0" hidden="1">接口清单!$A$1:$J$32</definedName>
    <definedName name="_xlnm._FilterDatabase" localSheetId="1" hidden="1">前端测试用例!$A$1:$K$49</definedName>
    <definedName name="_xlnm._FilterDatabase" localSheetId="2" hidden="1">数据表覆盖校验!$A$1:$G$27</definedName>
    <definedName name="_xlnm._FilterDatabase" localSheetId="3" hidden="1">本地配置数据!$A$1:$G$10</definedName>
  </definedNames>
  <calcPr calcId="124519" fullCalcOnLoad="1"/>
</workbook>
</file>

<file path=xl/sharedStrings.xml><?xml version="1.0" encoding="utf-8"?>
<sst xmlns="http://schemas.openxmlformats.org/spreadsheetml/2006/main" count="818" uniqueCount="818">
  <si>
    <t/>
  </si>
  <si>
    <t>序号</t>
  </si>
  <si>
    <t>所属分段</t>
  </si>
  <si>
    <t>码值</t>
  </si>
  <si>
    <t>枚举名</t>
  </si>
  <si>
    <t>含义（与后端 msg 一致）</t>
  </si>
  <si>
    <t>HTTP 状态</t>
  </si>
  <si>
    <t>前端处理方式</t>
  </si>
  <si>
    <t>前端实际提示文案</t>
  </si>
  <si>
    <t>典型触发场景 / 涉及接口</t>
  </si>
  <si>
    <t>通用</t>
  </si>
  <si>
    <t>SUCCESS</t>
  </si>
  <si>
    <t>操作成功</t>
  </si>
  <si>
    <t>判定成功，直接返回 data，不弹提示</t>
  </si>
  <si>
    <t>（无提示）</t>
  </si>
  <si>
    <t>任意接口正常返回</t>
  </si>
  <si>
    <t>PARAM_ERROR</t>
  </si>
  <si>
    <t>请求参数不正确</t>
  </si>
  <si>
    <t>统一弹后端 msg</t>
  </si>
  <si>
    <t>后端校验文案，如「请输入账号」；参数越界为具体约束提示</t>
  </si>
  <si>
    <t>必填缺失、参数越界(如 days=0)、路径参数类型不匹配</t>
  </si>
  <si>
    <t>UNAUTHORIZED</t>
  </si>
  <si>
    <t>登录状态已失效，请重新登录</t>
  </si>
  <si>
    <t>按 HTTP 状态进入 handleUnauthorized：清凭证 → 跳登录并记录回跳地址</t>
  </si>
  <si>
    <t>「登录状态已失效，请重新登录」（前端固定文案，非同后端 msg）</t>
  </si>
  <si>
    <t>通用未认证兜底（实际鉴权失败由 1004 / 1005 携带 HTTP 401 返回）</t>
  </si>
  <si>
    <t>FORBIDDEN</t>
  </si>
  <si>
    <t>无权访问该功能</t>
  </si>
  <si>
    <t>按 HTTP 状态提示，不清凭证、不跳转</t>
  </si>
  <si>
    <t>「无权访问该功能」（前端固定文案）</t>
  </si>
  <si>
    <t>已登录但越权访问（如家属访问未授权患者数据）</t>
  </si>
  <si>
    <t>NOT_FOUND</t>
  </si>
  <si>
    <t>请求的资源不存在</t>
  </si>
  <si>
    <t>「请求的接口或资源不存在」</t>
  </si>
  <si>
    <t>请求地址拼写错误、接口已下线</t>
  </si>
  <si>
    <t>METHOD_NOT_ALLOWED</t>
  </si>
  <si>
    <t>请求方法不被支持</t>
  </si>
  <si>
    <t>「请求方法不被支持」</t>
  </si>
  <si>
    <t>用 GET 调 POST 接口</t>
  </si>
  <si>
    <t>NOT_ACCEPTABLE</t>
  </si>
  <si>
    <t>响应数据格式不被支持</t>
  </si>
  <si>
    <t>「响应数据格式不被支持」</t>
  </si>
  <si>
    <t>Accept 请求头不被支持</t>
  </si>
  <si>
    <t>UPLOAD_TOO_LARGE</t>
  </si>
  <si>
    <t>上传内容过大，请调整后重试</t>
  </si>
  <si>
    <t>「上传内容过大，请调整后重试」</t>
  </si>
  <si>
    <t>上传体积超过服务端上限</t>
  </si>
  <si>
    <t>MEDIA_TYPE_NOT_SUPPORTED</t>
  </si>
  <si>
    <t>请求数据格式不被支持</t>
  </si>
  <si>
    <t>「请求数据格式不被支持」</t>
  </si>
  <si>
    <t>Content-Type 不是 application/json</t>
  </si>
  <si>
    <t>BUSINESS_ERROR</t>
  </si>
  <si>
    <t>操作失败，请稍后重试</t>
  </si>
  <si>
    <t>「操作失败，请稍后重试」或业务自定义文案</t>
  </si>
  <si>
    <t>业务异常兜底（BizException 未指定细分码时）</t>
  </si>
  <si>
    <t>SYSTEM_ERROR</t>
  </si>
  <si>
    <t>系统繁忙，请稍后重试</t>
  </si>
  <si>
    <t>「系统繁忙，请稍后重试」（不暴露堆栈）</t>
  </si>
  <si>
    <t>未预期异常兜底</t>
  </si>
  <si>
    <t>认证与账号</t>
  </si>
  <si>
    <t>患者与医疗数据</t>
  </si>
  <si>
    <t>费用</t>
  </si>
  <si>
    <t>LOGIN_FAILED</t>
  </si>
  <si>
    <t>ACCOUNT_DISABLED</t>
  </si>
  <si>
    <t>ACCOUNT_NOT_TERMINAL_ROLE</t>
  </si>
  <si>
    <t>TOKEN_INVALID</t>
  </si>
  <si>
    <t>TOKEN_MISSING</t>
  </si>
  <si>
    <t>ACCOUNT_LOCKED</t>
  </si>
  <si>
    <t>PATIENT_NOT_BOUND</t>
  </si>
  <si>
    <t>PATIENT_NOT_FOUND</t>
  </si>
  <si>
    <t>ORDER_NOT_FOUND</t>
  </si>
  <si>
    <t>EXAM_NOT_FOUND</t>
  </si>
  <si>
    <t>VITAL_NOT_FOUND</t>
  </si>
  <si>
    <t>FEE_NOT_FOUND</t>
  </si>
  <si>
    <t>INSURANCE_NOT_FOUND</t>
  </si>
  <si>
    <t>DEPOSIT_NOT_FOUND</t>
  </si>
  <si>
    <t>用户名或密码错误</t>
  </si>
  <si>
    <t>账号已被禁用，请联系管理员</t>
  </si>
  <si>
    <t>当前账号无权登录床旁终端</t>
  </si>
  <si>
    <t>令牌无效或已过期</t>
  </si>
  <si>
    <t>未登录，请先登录</t>
  </si>
  <si>
    <t>账号已被临时锁定，请稍后再试</t>
  </si>
  <si>
    <t>当前账号未绑定患者，请联系护士站处理</t>
  </si>
  <si>
    <t>未查询到患者信息</t>
  </si>
  <si>
    <t>医嘱信息不存在</t>
  </si>
  <si>
    <t>检查检验信息不存在</t>
  </si>
  <si>
    <t>体征数据不存在</t>
  </si>
  <si>
    <t>费用信息不存在</t>
  </si>
  <si>
    <t>医保信息不存在</t>
  </si>
  <si>
    <t>预缴金记录不存在</t>
  </si>
  <si>
    <t>统一弹后端 msg（含角色引导）</t>
  </si>
  <si>
    <t>按 HTTP 401 进入 handleUnauthorized：清凭证 → 跳登录并记录回跳地址</t>
  </si>
  <si>
    <t>统一弹后端 msg（含解锁等待时间）</t>
  </si>
  <si>
    <t>「用户名或密码错误」</t>
  </si>
  <si>
    <t>「账号已被禁用，请联系管理员」</t>
  </si>
  <si>
    <t>「该账号为医护工作站/后台系统账号，请使用对应系统登录」</t>
  </si>
  <si>
    <t>「登录状态已失效，请重新登录」（前端固定文案）</t>
  </si>
  <si>
    <t>「密码连续输错 5 次，账号已锁定 15 分钟」（阈值取配置值）</t>
  </si>
  <si>
    <t>「当前账号未绑定患者，请联系护士站处理」</t>
  </si>
  <si>
    <t>「未查询到患者信息」</t>
  </si>
  <si>
    <t>「医嘱信息不存在」</t>
  </si>
  <si>
    <t>「检查检验信息不存在」</t>
  </si>
  <si>
    <t>「体征数据不存在」</t>
  </si>
  <si>
    <t>「费用信息不存在」</t>
  </si>
  <si>
    <t>「医保信息不存在」</t>
  </si>
  <si>
    <t>「预缴金记录不存在」</t>
  </si>
  <si>
    <t>POST /auth/login 账号或密码错误</t>
  </si>
  <si>
    <t>POST /auth/login，账号 status≠1</t>
  </si>
  <si>
    <t>医生/管理员账号登录床旁终端（权限矩阵）</t>
  </si>
  <si>
    <t>令牌被篡改/过期后调用任意受保护接口</t>
  </si>
  <si>
    <t>未携带 Authorization 头调用受保护接口</t>
  </si>
  <si>
    <t>连续登录失败达阈值（默认 5 次 / 锁定 15 分钟）</t>
  </si>
  <si>
    <t>账号存在但未绑定患者主体</t>
  </si>
  <si>
    <t>GET /patient/info 等患者信息接口</t>
  </si>
  <si>
    <t>GET /orders 无医嘱数据</t>
  </si>
  <si>
    <t>GET /examinations 无检查检验数据</t>
  </si>
  <si>
    <t>GET /vitals 无体征数据</t>
  </si>
  <si>
    <t>GET /fees 无费用数据</t>
  </si>
  <si>
    <t>GET /insurance 无医保信息</t>
  </si>
  <si>
    <t>GET /deposit 无预缴金记录</t>
  </si>
  <si>
    <t>饮食与点餐</t>
  </si>
  <si>
    <t>DISH_NOT_FOUND</t>
  </si>
  <si>
    <t>DISH_OFF_SHELF</t>
  </si>
  <si>
    <t>MEAL_ORDER_EMPTY</t>
  </si>
  <si>
    <t>MEAL_ORDER_NOT_FOUND</t>
  </si>
  <si>
    <t>MEAL_ORDER_STATUS_INVALID</t>
  </si>
  <si>
    <t>MEAL_ORDER_DATE_INVALID</t>
  </si>
  <si>
    <t>MEAL_ORDER_TIME_INVALID</t>
  </si>
  <si>
    <t>MEAL_ORDER_DUPLICATE</t>
  </si>
  <si>
    <t>MEAL_ORDER_TIME_CUTOFF</t>
  </si>
  <si>
    <t>MEAL_ORDER_QUANTITY_INVALID</t>
  </si>
  <si>
    <t>MEAL_ORDER_KINDS_INVALID</t>
  </si>
  <si>
    <t>MEAL_ORDER_ADVANCE_INVALID</t>
  </si>
  <si>
    <t>餐品不存在或已下架</t>
  </si>
  <si>
    <t>该餐品已下架，请重新选择</t>
  </si>
  <si>
    <t>请先选择餐品</t>
  </si>
  <si>
    <t>订单不存在</t>
  </si>
  <si>
    <t>仅「待确认」订单可取消</t>
  </si>
  <si>
    <t>用餐日期不合法，不支持预订过去日期</t>
  </si>
  <si>
    <t>所选餐品与当前饮食医嘱不匹配，请重新选择</t>
  </si>
  <si>
    <t>该餐次已存在有效订单，请勿重复下单</t>
  </si>
  <si>
    <t>该餐次已过点餐截止时间，请选择其他餐次</t>
  </si>
  <si>
    <t>餐品数量超出允许范围</t>
  </si>
  <si>
    <t>单次点餐的餐品条目数超出上限</t>
  </si>
  <si>
    <t>用餐日期超出可预订范围</t>
  </si>
  <si>
    <t>统一弹后端 msg（越权也按此码返回，不泄露他人订单存在性）</t>
  </si>
  <si>
    <t>统一弹后端 msg；餐品弹窗保持打开便于重选</t>
  </si>
  <si>
    <t>统一弹后端 msg（含允许区间）</t>
  </si>
  <si>
    <t>统一弹后端 msg（含上限）</t>
  </si>
  <si>
    <t>统一弹后端 msg（含可预订天数）</t>
  </si>
  <si>
    <t>「餐品不存在或已下架」</t>
  </si>
  <si>
    <t>「餐品「xxx」已下架，请重新选择」</t>
  </si>
  <si>
    <t>「请先选择餐品」</t>
  </si>
  <si>
    <t>「订单不存在」</t>
  </si>
  <si>
    <t>「仅「待确认」订单可取消」</t>
  </si>
  <si>
    <t>「用餐日期不合法，不支持预订过去日期」</t>
  </si>
  <si>
    <t>「餐品「红烧五花肉」与您当前的饮食医嘱（忌油腻、高胆固醇）不符，请重新选择」</t>
  </si>
  <si>
    <t>「该餐次已存在有效订单，请勿重复下单」</t>
  </si>
  <si>
    <t>「早餐点餐已于 09:00 截止，请选择其他餐次或预订明日餐食」（餐次/时间取配置）</t>
  </si>
  <si>
    <t>「单个餐品数量需在 1~20 份之间」（上限取配置）</t>
  </si>
  <si>
    <t>「单次点餐最多选择 10 种餐品」（上限取配置）</t>
  </si>
  <si>
    <t>「暂只支持预订近 3 天的餐食，请调整用餐日期」（天数取配置）</t>
  </si>
  <si>
    <t>POST /meal-orders 提交不存在的 dishId</t>
  </si>
  <si>
    <t>POST /meal-orders 所选餐品 status=0（已下架）</t>
  </si>
  <si>
    <t>POST /meal-orders items 为空清单</t>
  </si>
  <si>
    <t>POST /meal-orders/{id}/cancel 取消不存在或他人的订单</t>
  </si>
  <si>
    <t>POST /meal-orders/{id}/cancel 订单状态非待确认</t>
  </si>
  <si>
    <t>POST /meal-orders 用餐日期早于今天</t>
  </si>
  <si>
    <t>POST /meal-orders 餐品与当日 diet_plan.taboo 禁忌关键词冲突（医疗安全拦截）</t>
  </si>
  <si>
    <t>POST /meal-orders 同患者+同日期+同餐次已有有效订单</t>
  </si>
  <si>
    <t>POST /meal-orders 当日餐次已过食堂截止时间（早餐09:00/午餐13:30/晚餐19:30）</t>
  </si>
  <si>
    <t>POST /meal-orders 单餐品数量超上限（含同餐品拆多行合并后超限）</t>
  </si>
  <si>
    <t>POST /meal-orders 条目数超过单次上限</t>
  </si>
  <si>
    <t>POST /meal-orders 用餐日期超出可预订天数</t>
  </si>
  <si>
    <t>内容与其他</t>
  </si>
  <si>
    <t>系统与数据访问</t>
  </si>
  <si>
    <t>EDUCATION_NOT_FOUND</t>
  </si>
  <si>
    <t>HOSPITAL_NOT_FOUND</t>
  </si>
  <si>
    <t>STAFF_NOT_FOUND</t>
  </si>
  <si>
    <t>DATA_ACCESS_ERROR</t>
  </si>
  <si>
    <t>DATA_INTEGRITY_ERROR</t>
  </si>
  <si>
    <t>SERVICE_UNAVAILABLE</t>
  </si>
  <si>
    <t>宣教内容不存在</t>
  </si>
  <si>
    <t>医院信息不存在</t>
  </si>
  <si>
    <t>未查询到责任医护信息</t>
  </si>
  <si>
    <t>数据操作失败，请稍后重试</t>
  </si>
  <si>
    <t>数据校验未通过，请检查后重试</t>
  </si>
  <si>
    <t>服务暂不可用，请稍后重试</t>
  </si>
  <si>
    <t>统一弹后端 msg（已隐去 SQL 与堆栈）</t>
  </si>
  <si>
    <t>统一弹后端 msg（已隐去表名/约束名）</t>
  </si>
  <si>
    <t>「宣教内容不存在」</t>
  </si>
  <si>
    <t>「医院信息不存在」</t>
  </si>
  <si>
    <t>「未查询到责任医护信息」</t>
  </si>
  <si>
    <t>「数据操作失败，请稍后重试」</t>
  </si>
  <si>
    <t>「数据校验未通过，请检查后重试」</t>
  </si>
  <si>
    <t>「服务暂不可用，请稍后重试」</t>
  </si>
  <si>
    <t>GET /education/{id} 传入不存在的 id</t>
  </si>
  <si>
    <t>GET /hospital 无医院信息</t>
  </si>
  <si>
    <t>GET /staff 无责任医护数据</t>
  </si>
  <si>
    <t>数据库访问异常（DataAccessException 兜底）</t>
  </si>
  <si>
    <t>唯一键冲突 / 外键约束（DuplicateKey 等）</t>
  </si>
  <si>
    <t>依赖服务不可用或请求超时（TimeoutException）</t>
  </si>
  <si>
    <r>
      <t>序号</t>
    </r>
  </si>
  <si>
    <r>
      <t>所属模块</t>
    </r>
  </si>
  <si>
    <r>
      <t>功能点</t>
    </r>
  </si>
  <si>
    <r>
      <t>请求方式</t>
    </r>
  </si>
  <si>
    <r>
      <t>请求地址</t>
    </r>
  </si>
  <si>
    <r>
      <t>请求参数</t>
    </r>
  </si>
  <si>
    <r>
      <t>响应数据要点</t>
    </r>
  </si>
  <si>
    <r>
      <t>对应数据表</t>
    </r>
  </si>
  <si>
    <r>
      <t>调用位置</t>
    </r>
  </si>
  <si>
    <r>
      <t>鉴权</t>
    </r>
  </si>
  <si>
    <r>
      <t>登录鉴权</t>
    </r>
  </si>
  <si>
    <r>
      <t>用户登录</t>
    </r>
  </si>
  <si>
    <r>
      <t>POST</t>
    </r>
  </si>
  <si>
    <r>
      <t>/auth/login</t>
    </r>
  </si>
  <si>
    <r>
      <t>username、password</t>
    </r>
  </si>
  <si>
    <r>
      <t>token、expiresIn、userInfo</t>
    </r>
  </si>
  <si>
    <r>
      <t>sys_user</t>
    </r>
  </si>
  <si>
    <r>
      <t>store/modules/user.js</t>
    </r>
  </si>
  <si>
    <r>
      <t>否</t>
    </r>
  </si>
  <si>
    <r>
      <t>退出登录</t>
    </r>
  </si>
  <si>
    <r>
      <t>/auth/logout</t>
    </r>
  </si>
  <si>
    <r>
      <t>无</t>
    </r>
  </si>
  <si>
    <r>
      <t>null</t>
    </r>
  </si>
  <si>
    <r>
      <t>是</t>
    </r>
  </si>
  <si>
    <r>
      <t>患者上下文</t>
    </r>
  </si>
  <si>
    <r>
      <t>GET</t>
    </r>
  </si>
  <si>
    <r>
      <t>/auth/patient-context</t>
    </r>
  </si>
  <si>
    <r>
      <t>patientId、patientNo、name、bedLabel、wardName、departmentName</t>
    </r>
  </si>
  <si>
    <r>
      <t>patient、ward、department、bed、sys_user</t>
    </r>
  </si>
  <si>
    <r>
      <t>首页</t>
    </r>
  </si>
  <si>
    <r>
      <t>今日概览</t>
    </r>
  </si>
  <si>
    <r>
      <t>/home/summary</t>
    </r>
  </si>
  <si>
    <r>
      <t>latestVital、totalFee、balance、todos</t>
    </r>
  </si>
  <si>
    <r>
      <t>vital_signs、fee_detail、deposit、medical_order、examination</t>
    </r>
  </si>
  <si>
    <r>
      <t>views/dashboard</t>
    </r>
  </si>
  <si>
    <r>
      <t>通知公告列表</t>
    </r>
  </si>
  <si>
    <r>
      <t>/notices</t>
    </r>
  </si>
  <si>
    <r>
      <t>公告数组（按发布时间倒序）</t>
    </r>
  </si>
  <si>
    <r>
      <t>notice</t>
    </r>
  </si>
  <si>
    <r>
      <t>store/modules/app.js</t>
    </r>
  </si>
  <si>
    <r>
      <t>患者信息</t>
    </r>
  </si>
  <si>
    <r>
      <t>患者基本信息</t>
    </r>
  </si>
  <si>
    <r>
      <t>/patient/info</t>
    </r>
  </si>
  <si>
    <r>
      <t>基本信息＋住院信息（含科室/病区/床号，敏感字段已脱敏）</t>
    </r>
  </si>
  <si>
    <r>
      <t>patient、department、ward、bed</t>
    </r>
  </si>
  <si>
    <r>
      <t>views/patient、views/dashboard</t>
    </r>
  </si>
  <si>
    <r>
      <t>诊断记录</t>
    </r>
  </si>
  <si>
    <r>
      <t>/patient/diagnoses</t>
    </r>
  </si>
  <si>
    <r>
      <t>诊断数组（含诊断医生姓名）</t>
    </r>
  </si>
  <si>
    <r>
      <t>diagnosis、medical_staff</t>
    </r>
  </si>
  <si>
    <r>
      <t>views/patient</t>
    </r>
  </si>
  <si>
    <r>
      <t>过敏史</t>
    </r>
  </si>
  <si>
    <r>
      <t>/patient/allergies</t>
    </r>
  </si>
  <si>
    <r>
      <t>过敏史数组（过敏原/类型/程度）</t>
    </r>
  </si>
  <si>
    <r>
      <t>allergy_history</t>
    </r>
  </si>
  <si>
    <r>
      <t>家属与紧急联系人</t>
    </r>
  </si>
  <si>
    <r>
      <t>/patient/contacts</t>
    </r>
  </si>
  <si>
    <r>
      <t>联系人数组（电话已脱敏）</t>
    </r>
  </si>
  <si>
    <r>
      <t>family_contact</t>
    </r>
  </si>
  <si>
    <r>
      <t>我的医嘱</t>
    </r>
  </si>
  <si>
    <r>
      <t>医嘱列表</t>
    </r>
  </si>
  <si>
    <r>
      <t>/orders</t>
    </r>
  </si>
  <si>
    <r>
      <t>orderType、orderCategory、status</t>
    </r>
  </si>
  <si>
    <r>
      <t>医嘱数组（含药品名、开单医生、执行护士）</t>
    </r>
  </si>
  <si>
    <r>
      <t>medical_order、drug、medical_staff</t>
    </r>
  </si>
  <si>
    <r>
      <t>views/order、views/dashboard</t>
    </r>
  </si>
  <si>
    <r>
      <t>检查检验列表</t>
    </r>
  </si>
  <si>
    <r>
      <t>/examinations</t>
    </r>
  </si>
  <si>
    <r>
      <t>examType</t>
    </r>
  </si>
  <si>
    <r>
      <t>检查检验数组（含开单医生、结果描述）</t>
    </r>
  </si>
  <si>
    <r>
      <t>examination、medical_staff</t>
    </r>
  </si>
  <si>
    <r>
      <t>views/order</t>
    </r>
  </si>
  <si>
    <r>
      <t>体征数据</t>
    </r>
  </si>
  <si>
    <r>
      <t>体征记录</t>
    </r>
  </si>
  <si>
    <r>
      <t>/vitals</t>
    </r>
  </si>
  <si>
    <r>
      <t>days（近 N 天）</t>
    </r>
  </si>
  <si>
    <r>
      <t>体征数组（体温/脉搏/呼吸/血压/血氧）</t>
    </r>
  </si>
  <si>
    <r>
      <t>vital_signs</t>
    </r>
  </si>
  <si>
    <r>
      <t>views/vital</t>
    </r>
  </si>
  <si>
    <r>
      <t>费用清单</t>
    </r>
  </si>
  <si>
    <r>
      <t>费用明细</t>
    </r>
  </si>
  <si>
    <r>
      <t>/fees</t>
    </r>
  </si>
  <si>
    <r>
      <t>chargeDate</t>
    </r>
  </si>
  <si>
    <r>
      <t>{ items, total }</t>
    </r>
  </si>
  <si>
    <r>
      <t>fee_detail、charge_item</t>
    </r>
  </si>
  <si>
    <r>
      <t>views/fee</t>
    </r>
  </si>
  <si>
    <r>
      <t>每日费用汇总</t>
    </r>
  </si>
  <si>
    <r>
      <t>/fees/daily</t>
    </r>
  </si>
  <si>
    <r>
      <t>按日汇总数组（日期/笔数/当日合计）</t>
    </r>
  </si>
  <si>
    <r>
      <t>fee_detail</t>
    </r>
  </si>
  <si>
    <r>
      <t>医保信息</t>
    </r>
  </si>
  <si>
    <r>
      <t>/insurance</t>
    </r>
  </si>
  <si>
    <r>
      <t>医保类型、医保卡号、报销比例、状态</t>
    </r>
  </si>
  <si>
    <r>
      <t>insurance_info</t>
    </r>
  </si>
  <si>
    <r>
      <t>预缴金汇总</t>
    </r>
  </si>
  <si>
    <r>
      <t>/deposit/summary</t>
    </r>
  </si>
  <si>
    <r>
      <t>totalDeposit、totalUsed、balance、lowBalanceWarn</t>
    </r>
  </si>
  <si>
    <r>
      <t>deposit、fee_detail</t>
    </r>
  </si>
  <si>
    <r>
      <t>views/fee、views/dashboard</t>
    </r>
  </si>
  <si>
    <r>
      <t>预缴金记录</t>
    </r>
  </si>
  <si>
    <r>
      <t>/deposit/records</t>
    </r>
  </si>
  <si>
    <r>
      <t>预缴/退费记录数组</t>
    </r>
  </si>
  <si>
    <r>
      <t>deposit</t>
    </r>
  </si>
  <si>
    <r>
      <t>饮食建议</t>
    </r>
  </si>
  <si>
    <r>
      <t>今日食谱</t>
    </r>
  </si>
  <si>
    <r>
      <t>/diet/today</t>
    </r>
  </si>
  <si>
    <r>
      <t>当日各餐次饮食方案数组</t>
    </r>
  </si>
  <si>
    <r>
      <t>diet_plan</t>
    </r>
  </si>
  <si>
    <r>
      <t>views/diet</t>
    </r>
  </si>
  <si>
    <r>
      <t>营养方案</t>
    </r>
  </si>
  <si>
    <r>
      <t>/diet/nutrition</t>
    </r>
  </si>
  <si>
    <r>
      <t>饮食类型、全日热量目标、营养师、建议</t>
    </r>
  </si>
  <si>
    <r>
      <t>饮食禁忌</t>
    </r>
  </si>
  <si>
    <r>
      <t>/diet/taboos</t>
    </r>
  </si>
  <si>
    <r>
      <t>禁忌项数组（名称/说明）</t>
    </r>
  </si>
  <si>
    <r>
      <t>餐品列表</t>
    </r>
  </si>
  <si>
    <r>
      <t>/dishes</t>
    </r>
  </si>
  <si>
    <r>
      <t>在售餐品数组（名称/类别/价格/描述）</t>
    </r>
  </si>
  <si>
    <r>
      <t>dish</t>
    </r>
  </si>
  <si>
    <r>
      <t>我的点餐订单</t>
    </r>
  </si>
  <si>
    <r>
      <t>/meal-orders</t>
    </r>
  </si>
  <si>
    <r>
      <t>订单数组（含餐品明细嵌套 items）</t>
    </r>
  </si>
  <si>
    <r>
      <t>meal_order、meal_order_item</t>
    </r>
  </si>
  <si>
    <r>
      <t>提交点餐订单</t>
    </r>
  </si>
  <si>
    <r>
      <t>orderDate、mealTime、items[{dishId, quantity}]</t>
    </r>
  </si>
  <si>
    <r>
      <t>新建订单（含金额计算与订单号生成）</t>
    </r>
  </si>
  <si>
    <r>
      <t>meal_order、meal_order_item、dish</t>
    </r>
  </si>
  <si>
    <r>
      <t>取消点餐订单</t>
    </r>
  </si>
  <si>
    <r>
      <t>/meal-orders/:id/cancel</t>
    </r>
  </si>
  <si>
    <r>
      <t>id（路径参数）</t>
    </r>
  </si>
  <si>
    <r>
      <t>更新后的订单（状态改为已取消）</t>
    </r>
  </si>
  <si>
    <r>
      <t>meal_order</t>
    </r>
  </si>
  <si>
    <r>
      <t>我的医护</t>
    </r>
  </si>
  <si>
    <r>
      <t>责任医护团队</t>
    </r>
  </si>
  <si>
    <r>
      <t>/staff/responsible</t>
    </r>
  </si>
  <si>
    <r>
      <t>关系数组（含医护信息，电话已脱敏）</t>
    </r>
  </si>
  <si>
    <r>
      <t>patient_staff、medical_staff</t>
    </r>
  </si>
  <si>
    <r>
      <t>views/staff</t>
    </r>
  </si>
  <si>
    <r>
      <t>本周排班</t>
    </r>
  </si>
  <si>
    <r>
      <t>/staff/duty</t>
    </r>
  </si>
  <si>
    <r>
      <t>排班数组（含医护信息、班次、起止时间）</t>
    </r>
  </si>
  <si>
    <r>
      <t>duty_schedule、medical_staff</t>
    </r>
  </si>
  <si>
    <r>
      <t>医院介绍</t>
    </r>
  </si>
  <si>
    <r>
      <t>医院概况</t>
    </r>
  </si>
  <si>
    <r>
      <t>/hospital/info</t>
    </r>
  </si>
  <si>
    <r>
      <t>医院名称/等级/简介/地址/联系电话</t>
    </r>
  </si>
  <si>
    <r>
      <t>hospital</t>
    </r>
  </si>
  <si>
    <r>
      <t>views/hospital</t>
    </r>
  </si>
  <si>
    <r>
      <t>科室介绍</t>
    </r>
  </si>
  <si>
    <r>
      <t>/hospital/departments</t>
    </r>
  </si>
  <si>
    <r>
      <t>科室数组（名称/负责人/简介/电话）</t>
    </r>
  </si>
  <si>
    <r>
      <t>department</t>
    </r>
  </si>
  <si>
    <r>
      <t>views/hospital、views/staff</t>
    </r>
  </si>
  <si>
    <r>
      <t>就诊指南与楼层分布</t>
    </r>
  </si>
  <si>
    <r>
      <t>/hospital/guide</t>
    </r>
  </si>
  <si>
    <r>
      <t>{ guide, floorMap }</t>
    </r>
  </si>
  <si>
    <r>
      <t>ward</t>
    </r>
  </si>
  <si>
    <r>
      <t>健康宣教</t>
    </r>
  </si>
  <si>
    <r>
      <t>宣教列表</t>
    </r>
  </si>
  <si>
    <r>
      <t>/education</t>
    </r>
  </si>
  <si>
    <r>
      <t>eduType</t>
    </r>
  </si>
  <si>
    <r>
      <t>宣教数组（标题/类型/疾病/发布时间/浏览量）</t>
    </r>
  </si>
  <si>
    <r>
      <t>health_education</t>
    </r>
  </si>
  <si>
    <r>
      <t>views/education</t>
    </r>
  </si>
  <si>
    <r>
      <t>宣教详情</t>
    </r>
  </si>
  <si>
    <r>
      <t>/education/:id</t>
    </r>
  </si>
  <si>
    <r>
      <t>宣教详情（含发布人，浏览量自增）</t>
    </r>
  </si>
  <si>
    <r>
      <t>health_education、medical_staff</t>
    </r>
  </si>
  <si>
    <r>
      <t>用例编号</t>
    </r>
  </si>
  <si>
    <r>
      <t>用例标题</t>
    </r>
  </si>
  <si>
    <r>
      <t>用例类型</t>
    </r>
  </si>
  <si>
    <r>
      <t>优先级</t>
    </r>
  </si>
  <si>
    <r>
      <t>前置条件</t>
    </r>
  </si>
  <si>
    <r>
      <t>测试步骤</t>
    </r>
  </si>
  <si>
    <r>
      <t>涉及请求地址</t>
    </r>
  </si>
  <si>
    <r>
      <t>预期结果</t>
    </r>
  </si>
  <si>
    <r>
      <t>验证方式</t>
    </r>
  </si>
  <si>
    <r>
      <t>验证结果</t>
    </r>
  </si>
  <si>
    <r>
      <t>TC-AUTH-01</t>
    </r>
  </si>
  <si>
    <r>
      <t>患者账号正常登录</t>
    </r>
  </si>
  <si>
    <r>
      <t>功能</t>
    </r>
  </si>
  <si>
    <r>
      <t>高</t>
    </r>
  </si>
  <si>
    <r>
      <t>未登录且 Mock 服务已启动</t>
    </r>
  </si>
  <si>
    <r>
      <t>1.打开登录页 2.点击「患者端演示」填入账号 3.点击登录</t>
    </r>
  </si>
  <si>
    <r>
      <t>POST /auth/login</t>
    </r>
  </si>
  <si>
    <r>
      <t>登录成功并跳转首页，本地持久化 token 与用户信息</t>
    </r>
  </si>
  <si>
    <r>
      <t>脚本断言</t>
    </r>
  </si>
  <si>
    <r>
      <t>通过</t>
    </r>
  </si>
  <si>
    <r>
      <t>TC-AUTH-02</t>
    </r>
  </si>
  <si>
    <r>
      <t>密码错误提示</t>
    </r>
  </si>
  <si>
    <r>
      <t>异常</t>
    </r>
  </si>
  <si>
    <r>
      <t>未登录</t>
    </r>
  </si>
  <si>
    <r>
      <t>1.输入 patient01 与错误密码 2.点击登录</t>
    </r>
  </si>
  <si>
    <r>
      <t>提示「用户名或密码错误」，停留登录页，不写入凭证</t>
    </r>
  </si>
  <si>
    <r>
      <t>TC-AUTH-03</t>
    </r>
  </si>
  <si>
    <r>
      <t>医护账号被拒绝登录</t>
    </r>
  </si>
  <si>
    <r>
      <t>权限</t>
    </r>
  </si>
  <si>
    <r>
      <t>1.输入 doctor01 / 123456 2.点击登录</t>
    </r>
  </si>
  <si>
    <r>
      <t>提示「医护账号请使用医护工作站登录」，拒绝进入床旁终端</t>
    </r>
  </si>
  <si>
    <r>
      <t>TC-AUTH-04</t>
    </r>
  </si>
  <si>
    <r>
      <t>管理员账号被拒绝登录</t>
    </r>
  </si>
  <si>
    <r>
      <t>中</t>
    </r>
  </si>
  <si>
    <r>
      <t>1.输入 admin / 123456 2.点击登录</t>
    </r>
  </si>
  <si>
    <r>
      <t>提示「管理员账号请使用后台管理系统登录」，拒绝进入</t>
    </r>
  </si>
  <si>
    <r>
      <t>TC-AUTH-05</t>
    </r>
  </si>
  <si>
    <r>
      <t>未登录访问受保护路由被拦截</t>
    </r>
  </si>
  <si>
    <r>
      <t>已清空本地令牌</t>
    </r>
  </si>
  <si>
    <r>
      <t>1.浏览器直接访问 /vital 等业务路由</t>
    </r>
  </si>
  <si>
    <r>
      <t>（路由守卫，无接口调用）</t>
    </r>
  </si>
  <si>
    <r>
      <t>重定向至 /login 并记录 redirect 回跳地址</t>
    </r>
  </si>
  <si>
    <r>
      <t>TC-AUTH-06</t>
    </r>
  </si>
  <si>
    <r>
      <t>令牌失效自动跳转登录</t>
    </r>
  </si>
  <si>
    <r>
      <t>已登录</t>
    </r>
  </si>
  <si>
    <r>
      <t>1.篡改本地 token 2.刷新页面触发数据加载</t>
    </r>
  </si>
  <si>
    <r>
      <t>任意受保护业务接口</t>
    </r>
  </si>
  <si>
    <r>
      <t>提示登录状态已失效，清空凭证并跳转登录页</t>
    </r>
  </si>
  <si>
    <r>
      <t>TC-AUTH-07</t>
    </r>
  </si>
  <si>
    <r>
      <t>退出登录清理会话</t>
    </r>
  </si>
  <si>
    <r>
      <t>1.点击右上角退出 2.确认退出</t>
    </r>
  </si>
  <si>
    <r>
      <t>POST /auth/logout</t>
    </r>
  </si>
  <si>
    <r>
      <t>清除 token 与用户信息，返回登录页；退出后访问接口被拦截</t>
    </r>
  </si>
  <si>
    <r>
      <t>TC-AUTH-08</t>
    </r>
  </si>
  <si>
    <r>
      <t>家属账号授权绑定患者</t>
    </r>
  </si>
  <si>
    <r>
      <t>业务</t>
    </r>
  </si>
  <si>
    <r>
      <t>family01 账号已绑定患者</t>
    </r>
  </si>
  <si>
    <r>
      <t>1.用 family01 / 123456 登录 2.查看首页与患者信息</t>
    </r>
  </si>
  <si>
    <r>
      <t>POST /auth/login、GET /auth/patient-context、GET /patient/info</t>
    </r>
  </si>
  <si>
    <r>
      <t>上下文指向同一患者（住院号 ZY2026-008721），数据与患者端一致且已脱敏</t>
    </r>
  </si>
  <si>
    <r>
      <t>TC-HOME-01</t>
    </r>
  </si>
  <si>
    <r>
      <t>今日概览卡片数据正确</t>
    </r>
  </si>
  <si>
    <r>
      <t>1.进入首页 2.核对四张概览卡数值</t>
    </r>
  </si>
  <si>
    <r>
      <t>GET /home/summary</t>
    </r>
  </si>
  <si>
    <r>
      <t>最新体温、预缴余额、住院总费用、今日待办数与接口返回值一致</t>
    </r>
  </si>
  <si>
    <r>
      <t>脚本断言 + 截图验证</t>
    </r>
  </si>
  <si>
    <r>
      <t>TC-HOME-02</t>
    </r>
  </si>
  <si>
    <r>
      <t>今日待办提醒展示</t>
    </r>
  </si>
  <si>
    <r>
      <t>已登录且当日有医嘱/检查</t>
    </r>
  </si>
  <si>
    <r>
      <t>1.进入首页 2.查看待办列表</t>
    </r>
  </si>
  <si>
    <r>
      <t>待办按时间升序展示待执行医嘱与近期检查，状态标签正确</t>
    </r>
  </si>
  <si>
    <r>
      <t>截图验证</t>
    </r>
  </si>
  <si>
    <r>
      <t>TC-HOME-03</t>
    </r>
  </si>
  <si>
    <r>
      <t>通知公告展示与详情弹窗</t>
    </r>
  </si>
  <si>
    <r>
      <t>1.查看公告区 2.点击任一条公告</t>
    </r>
  </si>
  <si>
    <r>
      <t>GET /notices</t>
    </r>
  </si>
  <si>
    <r>
      <t>展示 4 条公告（倒序），弹窗显示标题/类型/时间/正文</t>
    </r>
  </si>
  <si>
    <r>
      <t>TC-HOME-04</t>
    </r>
  </si>
  <si>
    <r>
      <t>快捷入口跳转</t>
    </r>
  </si>
  <si>
    <r>
      <t>低</t>
    </r>
  </si>
  <si>
    <r>
      <t>1.依次点击 6 个快捷入口</t>
    </r>
  </si>
  <si>
    <r>
      <t>（前端路由跳转）</t>
    </r>
  </si>
  <si>
    <r>
      <t>依次跳转到医嘱、体征、费用、饮食、医护、宣教页面</t>
    </r>
  </si>
  <si>
    <r>
      <t>TC-PAT-01</t>
    </r>
  </si>
  <si>
    <r>
      <t>基本信息与住院信息展示</t>
    </r>
  </si>
  <si>
    <r>
      <t>1.进入患者信息页 2.核对两张信息卡</t>
    </r>
  </si>
  <si>
    <r>
      <t>GET /patient/info</t>
    </r>
  </si>
  <si>
    <r>
      <t>姓名/性别/年龄/入院日期/科室/病区/床号/住院状态完整正确</t>
    </r>
  </si>
  <si>
    <r>
      <t>TC-PAT-02</t>
    </r>
  </si>
  <si>
    <r>
      <t>敏感信息脱敏展示</t>
    </r>
  </si>
  <si>
    <r>
      <t>安全</t>
    </r>
  </si>
  <si>
    <r>
      <t>1.查看身份证号与联系电话字段</t>
    </r>
  </si>
  <si>
    <r>
      <t>身份证 4+10*+4、手机号 3+4*+4；接口返回值本身即为脱敏值</t>
    </r>
  </si>
  <si>
    <r>
      <t>TC-PAT-03</t>
    </r>
  </si>
  <si>
    <r>
      <t>过敏史醒目提示</t>
    </r>
  </si>
  <si>
    <r>
      <t>已登录且存在过敏记录</t>
    </r>
  </si>
  <si>
    <r>
      <t>1.查看过敏史提示区</t>
    </r>
  </si>
  <si>
    <r>
      <t>GET /patient/allergies</t>
    </r>
  </si>
  <si>
    <r>
      <t>以红色警示标签展示过敏原、过敏类型与严重程度</t>
    </r>
  </si>
  <si>
    <r>
      <t>TC-PAT-04</t>
    </r>
  </si>
  <si>
    <r>
      <t>诊断记录列表</t>
    </r>
  </si>
  <si>
    <r>
      <t>1.查看诊断信息表格</t>
    </r>
  </si>
  <si>
    <r>
      <t>GET /patient/diagnoses</t>
    </r>
  </si>
  <si>
    <r>
      <t>展示诊断类型/名称/ICD 编码/诊断医生/诊断时间</t>
    </r>
  </si>
  <si>
    <r>
      <t>TC-PAT-05</t>
    </r>
  </si>
  <si>
    <r>
      <t>1.查看家属/紧急联系人区</t>
    </r>
  </si>
  <si>
    <r>
      <t>GET /patient/contacts</t>
    </r>
  </si>
  <si>
    <r>
      <t>展示姓名与关系，紧急联系人有标记，联系电话脱敏</t>
    </r>
  </si>
  <si>
    <r>
      <t>TC-ORD-01</t>
    </r>
  </si>
  <si>
    <r>
      <t>医嘱列表展示</t>
    </r>
  </si>
  <si>
    <r>
      <t>1.进入我的医嘱页 2.查看医嘱列表</t>
    </r>
  </si>
  <si>
    <r>
      <t>GET /orders</t>
    </r>
  </si>
  <si>
    <r>
      <t>展示医嘱号/类型/类别/内容/用法用量/频次/开始时间/状态/开单执行人</t>
    </r>
  </si>
  <si>
    <r>
      <t>TC-ORD-02</t>
    </r>
  </si>
  <si>
    <r>
      <t>按类型与状态筛选医嘱</t>
    </r>
  </si>
  <si>
    <r>
      <t>1.选择医嘱类型「长期」 2.追加状态筛选</t>
    </r>
  </si>
  <si>
    <r>
      <t>列表按条件正确过滤（长期医嘱 6 条），筛选组合生效</t>
    </r>
  </si>
  <si>
    <r>
      <t>TC-ORD-03</t>
    </r>
  </si>
  <si>
    <r>
      <t>用药提醒卡片与频次释义</t>
    </r>
  </si>
  <si>
    <r>
      <t>已登录且存在用药类医嘱</t>
    </r>
  </si>
  <si>
    <r>
      <t>1.切换「用药提醒」页签</t>
    </r>
  </si>
  <si>
    <r>
      <t>仅展示进行中用药医嘱，频次缩写正确释义（qd/bid/tid/qn/qw/st）</t>
    </r>
  </si>
  <si>
    <r>
      <t>TC-ORD-04</t>
    </r>
  </si>
  <si>
    <r>
      <t>检查检验列表与类型筛选</t>
    </r>
  </si>
  <si>
    <r>
      <t>1.切换「检查检验」 2.按检查类型筛选</t>
    </r>
  </si>
  <si>
    <r>
      <t>GET /examinations</t>
    </r>
  </si>
  <si>
    <r>
      <t>列表正确展示并过滤，结果状态标签与脱敏信息正确</t>
    </r>
  </si>
  <si>
    <r>
      <t>TC-ORD-05</t>
    </r>
  </si>
  <si>
    <r>
      <t>查看检查结果详情</t>
    </r>
  </si>
  <si>
    <r>
      <t>已登录且存在已出报告的检查</t>
    </r>
  </si>
  <si>
    <r>
      <t>1.点击某行「查看结果」</t>
    </r>
  </si>
  <si>
    <r>
      <t>弹窗展示检查类型/部位/检查时间/开单医生/结果描述</t>
    </r>
  </si>
  <si>
    <r>
      <t>TC-ORD-06</t>
    </r>
  </si>
  <si>
    <r>
      <t>治疗安排时间轴</t>
    </r>
  </si>
  <si>
    <r>
      <t>已登录且存在治疗/护理类医嘱</t>
    </r>
  </si>
  <si>
    <r>
      <t>1.切换「治疗安排」页签</t>
    </r>
  </si>
  <si>
    <r>
      <t>时间轴按时间展示治疗护理内容与执行状态标签</t>
    </r>
  </si>
  <si>
    <r>
      <t>TC-VIT-01</t>
    </r>
  </si>
  <si>
    <r>
      <t>最新体征概览卡片</t>
    </r>
  </si>
  <si>
    <r>
      <t>1.进入体征数据页 2.核对 5 张体征卡</t>
    </r>
  </si>
  <si>
    <r>
      <t>GET /vitals</t>
    </r>
  </si>
  <si>
    <r>
      <t>展示体温/脉搏/呼吸/血压/血氧最新值与参考区间</t>
    </r>
  </si>
  <si>
    <r>
      <t>TC-VIT-02</t>
    </r>
  </si>
  <si>
    <r>
      <t>趋势图区间切换</t>
    </r>
  </si>
  <si>
    <r>
      <t>1.切换「3 天」「7 天」</t>
    </r>
  </si>
  <si>
    <r>
      <t>趋势图数据点随区间变化，参考区间虚线边界正确绘制</t>
    </r>
  </si>
  <si>
    <r>
      <t>TC-VIT-03</t>
    </r>
  </si>
  <si>
    <r>
      <t>越界值标红提示</t>
    </r>
  </si>
  <si>
    <r>
      <t>已登录且存在越界记录</t>
    </r>
  </si>
  <si>
    <r>
      <t>1.查看概览卡与明细表格</t>
    </r>
  </si>
  <si>
    <r>
      <t>超出参考区间的数值标红并显示警示图标，与参考区间配置一致</t>
    </r>
  </si>
  <si>
    <r>
      <t>TC-FEE-01</t>
    </r>
  </si>
  <si>
    <r>
      <t>费用概览与余额预警</t>
    </r>
  </si>
  <si>
    <r>
      <t>1.进入费用清单页 2.核对四张概览卡</t>
    </r>
  </si>
  <si>
    <r>
      <t>GET /deposit/summary、GET /insurance</t>
    </r>
  </si>
  <si>
    <r>
      <t>预缴余额/累计预缴/累计费用/医保类型正确；余额不足时显示补缴预警</t>
    </r>
  </si>
  <si>
    <r>
      <t>TC-FEE-02</t>
    </r>
  </si>
  <si>
    <r>
      <t>费用明细按日期筛选</t>
    </r>
  </si>
  <si>
    <r>
      <t>1.选择某日期 2.清空日期 3.核对合计</t>
    </r>
  </si>
  <si>
    <r>
      <t>GET /fees</t>
    </r>
  </si>
  <si>
    <r>
      <t>列表与合计随筛选变化，合计行金额等于明细金额之和</t>
    </r>
  </si>
  <si>
    <r>
      <t>TC-FEE-03</t>
    </r>
  </si>
  <si>
    <r>
      <t>每日清单与明细联动</t>
    </r>
  </si>
  <si>
    <r>
      <t>1.切换「每日清单」 2.点击「查看明细」</t>
    </r>
  </si>
  <si>
    <r>
      <t>GET /fees/daily、GET /fees</t>
    </r>
  </si>
  <si>
    <r>
      <t>展示每日笔数与当日合计，跳转后明细与所选日期对应</t>
    </r>
  </si>
  <si>
    <r>
      <t>TC-FEE-04</t>
    </r>
  </si>
  <si>
    <r>
      <t>医保信息展示</t>
    </r>
  </si>
  <si>
    <r>
      <t>1.切换「医保信息」页签</t>
    </r>
  </si>
  <si>
    <r>
      <t>GET /insurance</t>
    </r>
  </si>
  <si>
    <r>
      <t>展示医保类型/状态/医保卡号/报销比例，附结算说明</t>
    </r>
  </si>
  <si>
    <r>
      <t>TC-FEE-05</t>
    </r>
  </si>
  <si>
    <r>
      <t>预缴记录列表</t>
    </r>
  </si>
  <si>
    <r>
      <t>1.切换「预缴记录」页签</t>
    </r>
  </si>
  <si>
    <r>
      <t>GET /deposit/records</t>
    </r>
  </si>
  <si>
    <r>
      <t>按时间倒序展示类型/金额/支付方式/缴费时间/备注</t>
    </r>
  </si>
  <si>
    <r>
      <t>TC-DIET-01</t>
    </r>
  </si>
  <si>
    <r>
      <t>今日食谱展示</t>
    </r>
  </si>
  <si>
    <r>
      <t>1.进入饮食建议页 2.核对各餐次卡片</t>
    </r>
  </si>
  <si>
    <r>
      <t>GET /diet/today</t>
    </r>
  </si>
  <si>
    <r>
      <t>展示 4 个餐次饮食方案与饮食类型，含禁忌提示</t>
    </r>
  </si>
  <si>
    <r>
      <t>TC-DIET-02</t>
    </r>
  </si>
  <si>
    <r>
      <t>营养方案展示</t>
    </r>
  </si>
  <si>
    <r>
      <t>1.查看营养方案卡片</t>
    </r>
  </si>
  <si>
    <r>
      <t>GET /diet/nutrition</t>
    </r>
  </si>
  <si>
    <r>
      <t>展示饮食类型、全日热量目标、营养师与饮食建议</t>
    </r>
  </si>
  <si>
    <r>
      <t>TC-DIET-03</t>
    </r>
  </si>
  <si>
    <r>
      <t>饮食禁忌展示</t>
    </r>
  </si>
  <si>
    <r>
      <t>1.查看饮食禁忌区块</t>
    </r>
  </si>
  <si>
    <r>
      <t>GET /diet/taboos</t>
    </r>
  </si>
  <si>
    <r>
      <t>逐条展示禁忌名称与说明，以警示色呈现</t>
    </r>
  </si>
  <si>
    <r>
      <t>TC-DIET-04</t>
    </r>
  </si>
  <si>
    <r>
      <t>在线点餐下单</t>
    </r>
  </si>
  <si>
    <r>
      <t>1.点击「去点餐」 2.选择餐次与用餐日期 3.选择餐品 4.提交订单</t>
    </r>
  </si>
  <si>
    <r>
      <t>GET /dishes、POST /meal-orders</t>
    </r>
  </si>
  <si>
    <r>
      <t>在售餐品 12 个；订单创建成功，金额＝Σ(单价×数量)，列表新增订单状态为待确认</t>
    </r>
  </si>
  <si>
    <r>
      <t>TC-DIET-05</t>
    </r>
  </si>
  <si>
    <r>
      <t>空购物车提交校验</t>
    </r>
  </si>
  <si>
    <r>
      <t>1.打开点餐弹窗不选餐品 2.尝试提交</t>
    </r>
  </si>
  <si>
    <r>
      <t>POST /meal-orders</t>
    </r>
  </si>
  <si>
    <r>
      <t>提交按钮禁用；若强行提交，后端返回「请先选择餐品」</t>
    </r>
  </si>
  <si>
    <r>
      <t>TC-DIET-06</t>
    </r>
  </si>
  <si>
    <r>
      <t>待确认订单可取消</t>
    </r>
  </si>
  <si>
    <r>
      <t>已登录且存在待确认订单</t>
    </r>
  </si>
  <si>
    <r>
      <t>1.点击订单行「取消」并二次确认</t>
    </r>
  </si>
  <si>
    <r>
      <t>POST /meal-orders/:id/cancel</t>
    </r>
  </si>
  <si>
    <r>
      <t>订单状态变更为已取消，取消按钮隐藏</t>
    </r>
  </si>
  <si>
    <r>
      <t>TC-DIET-07</t>
    </r>
  </si>
  <si>
    <r>
      <t>非待确认订单不可取消</t>
    </r>
  </si>
  <si>
    <r>
      <t>已登录且存在已确认/已配送订单</t>
    </r>
  </si>
  <si>
    <r>
      <t>1.观察订单行操作列 2.尝试取消非待确认订单</t>
    </r>
  </si>
  <si>
    <r>
      <t>操作列不显示取消按钮；后端拒绝并提示「仅「待确认」订单可取消」</t>
    </r>
  </si>
  <si>
    <r>
      <t>TC-STAFF-01</t>
    </r>
  </si>
  <si>
    <r>
      <t>责任医护团队展示</t>
    </r>
  </si>
  <si>
    <r>
      <t>1.进入我的医护页 2.核对医护卡片</t>
    </r>
  </si>
  <si>
    <r>
      <t>GET /staff/responsible</t>
    </r>
  </si>
  <si>
    <r>
      <t>展示 4 名责任医护（2 医 2 护），主要责任人有标记，区分职称与专长</t>
    </r>
  </si>
  <si>
    <r>
      <t>TC-STAFF-02</t>
    </r>
  </si>
  <si>
    <r>
      <t>医护联系电话脱敏</t>
    </r>
  </si>
  <si>
    <r>
      <t>1.查看医护卡片联系电话</t>
    </r>
  </si>
  <si>
    <r>
      <t>电话以 3+4*+4 形式展示，接口返回值本身即为脱敏值</t>
    </r>
  </si>
  <si>
    <r>
      <t>TC-STAFF-03</t>
    </r>
  </si>
  <si>
    <r>
      <t>本周排班展示</t>
    </r>
  </si>
  <si>
    <r>
      <t>1.查看本周排班表格</t>
    </r>
  </si>
  <si>
    <r>
      <t>GET /staff/duty、GET /hospital/departments</t>
    </r>
  </si>
  <si>
    <r>
      <t>按周一至周日展示班次与起止时间，休班显示「休」</t>
    </r>
  </si>
  <si>
    <r>
      <t>TC-HOSP-01</t>
    </r>
  </si>
  <si>
    <r>
      <t>医院概况展示</t>
    </r>
  </si>
  <si>
    <r>
      <t>1.进入医院介绍页 2.核对概况卡</t>
    </r>
  </si>
  <si>
    <r>
      <t>GET /hospital/info</t>
    </r>
  </si>
  <si>
    <r>
      <t>展示医院名称、等级、地址、联系电话与简介</t>
    </r>
  </si>
  <si>
    <r>
      <t>TC-HOSP-02</t>
    </r>
  </si>
  <si>
    <r>
      <t>科室介绍折叠面板</t>
    </r>
  </si>
  <si>
    <r>
      <t>1.展开任一科室面板</t>
    </r>
  </si>
  <si>
    <r>
      <t>GET /hospital/departments</t>
    </r>
  </si>
  <si>
    <r>
      <t>展示 3 个科室的负责人、科室简介与科室电话</t>
    </r>
  </si>
  <si>
    <r>
      <t>TC-HOSP-03</t>
    </r>
  </si>
  <si>
    <r>
      <t>1.查看就诊指南步骤 2.查看楼层分布表</t>
    </r>
  </si>
  <si>
    <r>
      <t>GET /hospital/guide</t>
    </r>
  </si>
  <si>
    <r>
      <t>展示 3 组就诊指南步骤与各楼层功能分区</t>
    </r>
  </si>
  <si>
    <r>
      <t>TC-EDU-01</t>
    </r>
  </si>
  <si>
    <r>
      <t>宣教列表按类型切换</t>
    </r>
  </si>
  <si>
    <r>
      <t>1.切换宣教类型页签（疾病知识/康复指导/用药指导/出院须知）</t>
    </r>
  </si>
  <si>
    <r>
      <t>GET /education</t>
    </r>
  </si>
  <si>
    <r>
      <t>共 8 篇宣教；切换至「疾病知识」筛选出 2 篇，卡片信息完整</t>
    </r>
  </si>
  <si>
    <r>
      <t>TC-EDU-02</t>
    </r>
  </si>
  <si>
    <r>
      <t>宣教详情与浏览量</t>
    </r>
  </si>
  <si>
    <r>
      <t>1.点击任一宣教卡片</t>
    </r>
  </si>
  <si>
    <r>
      <t>GET /education/:id</t>
    </r>
  </si>
  <si>
    <r>
      <t>弹窗展示全文、发布人与发布时间，浏览量自增 1</t>
    </r>
  </si>
  <si>
    <r>
      <t>TC-UI-01</t>
    </r>
  </si>
  <si>
    <r>
      <t>通用</t>
    </r>
  </si>
  <si>
    <r>
      <t>404 页面兜底</t>
    </r>
  </si>
  <si>
    <r>
      <t>1.访问不存在的路由地址</t>
    </r>
  </si>
  <si>
    <r>
      <t>（前端路由兜底）</t>
    </r>
  </si>
  <si>
    <r>
      <t>展示 404 页面并提供返回首页入口</t>
    </r>
  </si>
  <si>
    <r>
      <t>TC-UI-02</t>
    </r>
  </si>
  <si>
    <r>
      <t>全局主题与布局一致性</t>
    </r>
  </si>
  <si>
    <r>
      <t>界面</t>
    </r>
  </si>
  <si>
    <r>
      <t>1.遍历 9 个业务页面</t>
    </r>
  </si>
  <si>
    <r>
      <t>—</t>
    </r>
  </si>
  <si>
    <r>
      <t>侧边栏、顶栏、卡片与配色统一，整体呈现温暖医疗风格</t>
    </r>
  </si>
  <si>
    <r>
      <t>表名</t>
    </r>
  </si>
  <si>
    <r>
      <t>表说明</t>
    </r>
  </si>
  <si>
    <r>
      <t>供给数据的请求地址</t>
    </r>
  </si>
  <si>
    <r>
      <t>前端使用页面</t>
    </r>
  </si>
  <si>
    <r>
      <t>覆盖状态</t>
    </r>
  </si>
  <si>
    <r>
      <t>备注</t>
    </r>
  </si>
  <si>
    <r>
      <t>医院信息表</t>
    </r>
  </si>
  <si>
    <r>
      <t>已覆盖</t>
    </r>
  </si>
  <si>
    <r>
      <t>科室表</t>
    </r>
  </si>
  <si>
    <r>
      <t>医院介绍、我的医护</t>
    </r>
  </si>
  <si>
    <r>
      <t>病区表</t>
    </r>
  </si>
  <si>
    <r>
      <t>GET /patient/info、GET /hospital/guide</t>
    </r>
  </si>
  <si>
    <r>
      <t>患者信息、我的医护、医院介绍</t>
    </r>
  </si>
  <si>
    <r>
      <t>联表返回病区名称与位置</t>
    </r>
  </si>
  <si>
    <r>
      <t>bed</t>
    </r>
  </si>
  <si>
    <r>
      <t>床位表</t>
    </r>
  </si>
  <si>
    <r>
      <t>患者信息、首页</t>
    </r>
  </si>
  <si>
    <r>
      <t>联表返回床号标签</t>
    </r>
  </si>
  <si>
    <r>
      <t>medical_staff</t>
    </r>
  </si>
  <si>
    <r>
      <t>医护人员表</t>
    </r>
  </si>
  <si>
    <r>
      <t>GET /staff/responsible、GET /staff/duty</t>
    </r>
  </si>
  <si>
    <r>
      <t>我的医护、患者信息、我的医嘱</t>
    </r>
  </si>
  <si>
    <r>
      <t>统一封装为医护 VO 且电话脱敏</t>
    </r>
  </si>
  <si>
    <r>
      <t>patient</t>
    </r>
  </si>
  <si>
    <r>
      <t>患者表</t>
    </r>
  </si>
  <si>
    <r>
      <t>GET /patient/info、GET /auth/patient-context</t>
    </r>
  </si>
  <si>
    <r>
      <t>身份证/手机号在数据层脱敏</t>
    </r>
  </si>
  <si>
    <r>
      <t>patient_staff</t>
    </r>
  </si>
  <si>
    <r>
      <t>患者-责任医护关系表</t>
    </r>
  </si>
  <si>
    <r>
      <t>含关系类型与主要责任人标记</t>
    </r>
  </si>
  <si>
    <r>
      <t>家属/紧急联系人表</t>
    </r>
  </si>
  <si>
    <r>
      <t>联系电话脱敏</t>
    </r>
  </si>
  <si>
    <r>
      <t>过敏史表</t>
    </r>
  </si>
  <si>
    <r>
      <t>用作过敏警示区数据源</t>
    </r>
  </si>
  <si>
    <r>
      <t>diagnosis</t>
    </r>
  </si>
  <si>
    <r>
      <t>诊断记录表</t>
    </r>
  </si>
  <si>
    <r>
      <t>联表补充诊断医生姓名</t>
    </r>
  </si>
  <si>
    <r>
      <t>drug</t>
    </r>
  </si>
  <si>
    <r>
      <t>药品字典表</t>
    </r>
  </si>
  <si>
    <r>
      <t>我的医嘱·用药提醒</t>
    </r>
  </si>
  <si>
    <r>
      <t>联表返回药品名称</t>
    </r>
  </si>
  <si>
    <r>
      <t>medical_order</t>
    </r>
  </si>
  <si>
    <r>
      <t>医嘱表</t>
    </r>
  </si>
  <si>
    <r>
      <t>我的医嘱、首页待办</t>
    </r>
  </si>
  <si>
    <r>
      <t>支持类型/类别/状态筛选</t>
    </r>
  </si>
  <si>
    <r>
      <t>examination</t>
    </r>
  </si>
  <si>
    <r>
      <t>检查检验表</t>
    </r>
  </si>
  <si>
    <r>
      <t>我的医嘱·检查检验、首页待办</t>
    </r>
  </si>
  <si>
    <r>
      <t>支持检查类型筛选</t>
    </r>
  </si>
  <si>
    <r>
      <t>体征数据表</t>
    </r>
  </si>
  <si>
    <r>
      <t>GET /vitals、GET /home/summary</t>
    </r>
  </si>
  <si>
    <r>
      <t>体征数据、首页</t>
    </r>
  </si>
  <si>
    <r>
      <t>支持近 N 天过滤与越界判断</t>
    </r>
  </si>
  <si>
    <r>
      <t>charge_item</t>
    </r>
  </si>
  <si>
    <r>
      <t>收费项目字典表</t>
    </r>
  </si>
  <si>
    <r>
      <t>联表返回项目名称与类别</t>
    </r>
  </si>
  <si>
    <r>
      <t>费用明细表</t>
    </r>
  </si>
  <si>
    <r>
      <t>GET /fees、GET /fees/daily</t>
    </r>
  </si>
  <si>
    <r>
      <t>费用清单、首页</t>
    </r>
  </si>
  <si>
    <r>
      <t>支持按费用日期筛选与按日汇总</t>
    </r>
  </si>
  <si>
    <r>
      <t>预缴金记录表</t>
    </r>
  </si>
  <si>
    <r>
      <t>GET /deposit/summary、GET /deposit/records</t>
    </r>
  </si>
  <si>
    <r>
      <t>汇总含欠费预警标记</t>
    </r>
  </si>
  <si>
    <r>
      <t>医保信息表</t>
    </r>
  </si>
  <si>
    <r>
      <t>餐品字典表</t>
    </r>
  </si>
  <si>
    <r>
      <t>GET /dishes</t>
    </r>
  </si>
  <si>
    <r>
      <t>饮食建议·在线点餐</t>
    </r>
  </si>
  <si>
    <r>
      <t>仅返回上架餐品</t>
    </r>
  </si>
  <si>
    <r>
      <t>饮食方案表</t>
    </r>
  </si>
  <si>
    <r>
      <t>GET /diet/today、GET /diet/nutrition、GET /diet/taboos</t>
    </r>
  </si>
  <si>
    <r>
      <t>营养方案与禁忌自方案字段派生</t>
    </r>
  </si>
  <si>
    <r>
      <t>点餐订单表</t>
    </r>
  </si>
  <si>
    <r>
      <t>GET /meal-orders、POST /meal-orders、POST /meal-orders/:id/cancel</t>
    </r>
  </si>
  <si>
    <r>
      <t>含下单与取消状态机校验</t>
    </r>
  </si>
  <si>
    <r>
      <t>meal_order_item</t>
    </r>
  </si>
  <si>
    <r>
      <t>点餐订单明细表</t>
    </r>
  </si>
  <si>
    <r>
      <t>GET /meal-orders</t>
    </r>
  </si>
  <si>
    <r>
      <t>以 items 嵌套随订单返回</t>
    </r>
  </si>
  <si>
    <r>
      <t>duty_schedule</t>
    </r>
  </si>
  <si>
    <r>
      <t>排班表</t>
    </r>
  </si>
  <si>
    <r>
      <t>GET /staff/duty</t>
    </r>
  </si>
  <si>
    <r>
      <t>联表补充医护信息</t>
    </r>
  </si>
  <si>
    <r>
      <t>健康宣教表</t>
    </r>
  </si>
  <si>
    <r>
      <t>GET /education、GET /education/:id</t>
    </r>
  </si>
  <si>
    <r>
      <t>仅返回已发布；详情浏览量自增</t>
    </r>
  </si>
  <si>
    <r>
      <t>通知公告表</t>
    </r>
  </si>
  <si>
    <r>
      <t>按发布时间倒序</t>
    </r>
  </si>
  <si>
    <r>
      <t>系统账号表</t>
    </r>
  </si>
  <si>
    <r>
      <t>POST /auth/login、POST /auth/logout、GET /auth/patient-context</t>
    </r>
  </si>
  <si>
    <r>
      <t>登录页、全局</t>
    </r>
  </si>
  <si>
    <r>
      <t>角色白名单仅放行患者/家属</t>
    </r>
  </si>
  <si>
    <r>
      <t>文件路径</t>
    </r>
  </si>
  <si>
    <r>
      <t>配置内容</t>
    </r>
  </si>
  <si>
    <r>
      <t>规模</t>
    </r>
  </si>
  <si>
    <r>
      <t>存放位置</t>
    </r>
  </si>
  <si>
    <r>
      <t>结论</t>
    </r>
  </si>
  <si>
    <r>
      <t>说明</t>
    </r>
  </si>
  <si>
    <r>
      <t>src/dict/index.js</t>
    </r>
  </si>
  <si>
    <r>
      <t>业务字典 22 组：性别、角色、住院状态、床位状态、人员类型、医嘱类型、医嘱类别、医嘱状态、检查类型、结果状态、过敏类型、诊断类型、收费类别、费用状态、预缴类型、支付方式、餐次、餐品类别、点餐状态、班次、宣教类型、公告类型、医嘱频次</t>
    </r>
  </si>
  <si>
    <r>
      <t>23 组</t>
    </r>
  </si>
  <si>
    <r>
      <t>前端 JS</t>
    </r>
  </si>
  <si>
    <r>
      <t>合理</t>
    </r>
  </si>
  <si>
    <r>
      <t>与 schema.sql 字段注释逐字对齐，属纯枚举字典，允许前端存放</t>
    </r>
  </si>
  <si>
    <r>
      <t>src/config/vitalRanges.js</t>
    </r>
  </si>
  <si>
    <r>
      <t>体征参考区间：体温、脉搏、呼吸、收缩压、舒张压、血氧饱和度</t>
    </r>
  </si>
  <si>
    <r>
      <t>6 项</t>
    </r>
  </si>
  <si>
    <r>
      <t>医疗业务阈值配置，用于越界标红；后续可由后端配置下发</t>
    </r>
  </si>
  <si>
    <r>
      <t>src/views/dashboard/index.vue</t>
    </r>
  </si>
  <si>
    <r>
      <t>首页快捷入口：路径、标题、图标、配色</t>
    </r>
  </si>
  <si>
    <r>
      <t>页面内</t>
    </r>
  </si>
  <si>
    <r>
      <t>纯前端 UI 配置，无业务数据含义</t>
    </r>
  </si>
  <si>
    <r>
      <t>src/views/education/index.vue</t>
    </r>
  </si>
  <si>
    <r>
      <t>宣教类型图标与封面配色</t>
    </r>
  </si>
  <si>
    <r>
      <t>4 项</t>
    </r>
  </si>
  <si>
    <r>
      <t>纯前端 UI 配置</t>
    </r>
  </si>
  <si>
    <r>
      <t>src/views/hospital/index.vue</t>
    </r>
  </si>
  <si>
    <r>
      <t>就诊指南步骤图标数组</t>
    </r>
  </si>
  <si>
    <r>
      <t>3 项</t>
    </r>
  </si>
  <si>
    <r>
      <t>src/views/login/index.vue</t>
    </r>
  </si>
  <si>
    <r>
      <t>演示账号（patient01 / family01）</t>
    </r>
  </si>
  <si>
    <r>
      <t>2 项</t>
    </r>
  </si>
  <si>
    <r>
      <t>仅供演示与联调，对接真实环境前应移除</t>
    </r>
  </si>
  <si>
    <r>
      <t>src/views/staff/index.vue</t>
    </r>
  </si>
  <si>
    <r>
      <t>病区简表（id、病区名称）与护士站电话</t>
    </r>
  </si>
  <si>
    <r>
      <t>2 条 + 1 项</t>
    </r>
  </si>
  <si>
    <r>
      <t>建议优化</t>
    </r>
  </si>
  <si>
    <r>
      <t>数据库已有 ward 表，硬编码存在与后端不一致风险，建议后续由接口下发</t>
    </r>
  </si>
  <si>
    <r>
      <t>src/utils/format.js</t>
    </r>
  </si>
  <si>
    <r>
      <t>脱敏与格式化规则：身份证、手机号、金额、日期、年龄</t>
    </r>
  </si>
  <si>
    <r>
      <t>5 项</t>
    </r>
  </si>
  <si>
    <r>
      <t>属展示层逻辑，后端已同步在数据层脱敏，形成双重保障</t>
    </r>
  </si>
  <si>
    <r>
      <t>src/mock/data/*.js</t>
    </r>
  </si>
  <si>
    <r>
      <t>Mock 数据集合，覆盖 26 张业务表（患者/医嘱/体征/费用/饮食/医护/宣教/公告等）</t>
    </r>
  </si>
  <si>
    <r>
      <t>26 张表</t>
    </r>
  </si>
  <si>
    <r>
      <t>临时</t>
    </r>
  </si>
  <si>
    <r>
      <t>仅 Mock 模式加载；VITE_USE_MOCK=false 后不再参与，由真实 API 替代</t>
    </r>
  </si>
  <si>
    <r>
      <t>床旁信息系统前端 · 接口完整性与测试用例二次校验报告</t>
    </r>
  </si>
  <si>
    <r>
      <t>被测项目：D:\Workspace\hospital-bedside-frontend　｜　校验依据：schema.sql（26 张业务表）　｜　生成时间：2026-09-10 14:29</t>
    </r>
  </si>
  <si>
    <r>
      <t>一、关键指标</t>
    </r>
  </si>
  <si>
    <r>
      <t>接口总数</t>
    </r>
  </si>
  <si>
    <r>
      <t>src/api/*.js</t>
    </r>
  </si>
  <si>
    <r>
      <t>前端声明的请求地址总数</t>
    </r>
  </si>
  <si>
    <r>
      <t>测试用例总数</t>
    </r>
  </si>
  <si>
    <r>
      <t>前端测试用例</t>
    </r>
  </si>
  <si>
    <r>
      <t>用例条数</t>
    </r>
  </si>
  <si>
    <r>
      <t>用例通过数</t>
    </r>
  </si>
  <si>
    <r>
      <t>验证结果为「通过」的用例数</t>
    </r>
  </si>
  <si>
    <r>
      <t>用例通过率</t>
    </r>
  </si>
  <si>
    <r>
      <t>计算列</t>
    </r>
  </si>
  <si>
    <r>
      <t>通过数 ÷ 用例总数</t>
    </r>
  </si>
  <si>
    <r>
      <t>数据库表总数</t>
    </r>
  </si>
  <si>
    <r>
      <t>schema.sql</t>
    </r>
  </si>
  <si>
    <r>
      <t>业务表数量</t>
    </r>
  </si>
  <si>
    <r>
      <t>数据表覆盖率</t>
    </r>
  </si>
  <si>
    <r>
      <t>已有接口供给的表 ÷ 表总数</t>
    </r>
  </si>
  <si>
    <r>
      <t>悬空调用数</t>
    </r>
  </si>
  <si>
    <r>
      <t>api-contract-audit.js</t>
    </r>
  </si>
  <si>
    <r>
      <t>前端调用但后端无实现的请求地址数</t>
    </r>
  </si>
  <si>
    <r>
      <t>二、校验项明细</t>
    </r>
  </si>
  <si>
    <r>
      <t>接口与 Mock 路由一致性</t>
    </r>
  </si>
  <si>
    <r>
      <t>解析 src/api/*.js 与 src/mock/index.js 交叉比对（scripts/api-contract-audit.js）</t>
    </r>
  </si>
  <si>
    <r>
      <t>31 个接口 ↔ 31 条路由，悬空 0 个、冗余 0 个</t>
    </r>
  </si>
  <si>
    <r>
      <t>数据库表覆盖完整性</t>
    </r>
  </si>
  <si>
    <r>
      <t>schema.sql 中 26 张业务表逐一映射供给接口</t>
    </r>
  </si>
  <si>
    <r>
      <t>26 / 26 全部有接口供给，无表缺失</t>
    </r>
  </si>
  <si>
    <r>
      <t>运行时接口实调</t>
    </r>
  </si>
  <si>
    <r>
      <t>npm run verify 对全部业务接口发起真实调用并断言响应</t>
    </r>
  </si>
  <si>
    <r>
      <t>45 项断言全部通过（0 失败）</t>
    </r>
  </si>
  <si>
    <r>
      <t>生产构建编译</t>
    </r>
  </si>
  <si>
    <r>
      <t>npm run build</t>
    </r>
  </si>
  <si>
    <r>
      <t>编译成功，产出 dist，vue/element/echarts 分包正常</t>
    </r>
  </si>
  <si>
    <r>
      <t>页面渲染</t>
    </r>
  </si>
  <si>
    <r>
      <t>Edge 无头浏览器逐个截图 10 个页面（登录 + 9 业务页）</t>
    </r>
  </si>
  <si>
    <r>
      <t>全部正常渲染，无白屏、无控制台报错</t>
    </r>
  </si>
  <si>
    <r>
      <t>令牌与权限控制</t>
    </r>
  </si>
  <si>
    <r>
      <t>覆盖登录、越权、令牌失效、登出四类链路的脚本断言</t>
    </r>
  </si>
  <si>
    <r>
      <t>医护/管理员登录被拒、未登录被拦截、登出后接口拒绝访问</t>
    </r>
  </si>
  <si>
    <r>
      <t>敏感信息脱敏</t>
    </r>
  </si>
  <si>
    <r>
      <t>核验身份证、手机号、医护电话在接口返回值中的形态</t>
    </r>
  </si>
  <si>
    <r>
      <t>已在数据层统一脱敏（非仅展示层），构成本地+后端双重保障</t>
    </r>
  </si>
  <si>
    <r>
      <t>前端本地配置数据归位</t>
    </r>
  </si>
  <si>
    <r>
      <t>梳理 config/、dict/ 及 views/ 中的静态数据共 9 处</t>
    </r>
  </si>
  <si>
    <r>
      <t>8 处属合理配置；病区简表与护士站电话建议后续由接口下发</t>
    </r>
  </si>
  <si>
    <r>
      <t>关注</t>
    </r>
  </si>
  <si>
    <r>
      <t>三、校验结论</t>
    </r>
  </si>
  <si>
    <r>
      <t>前端功能所需请求地址完整：31 个请求地址全部有对应实现，26 张业务表 100% 被覆盖，无需新增接口。除「病区简表」外，其余前端静态数据均属允许前端存放的配置类型（枚举字典、UI 配置、展示层规则）。建议后续对接真实后端时：① 将病区列表与护士站电话改为接口下发；② 保留现有统一响应结构与令牌校验契约，后端按本表「接口清单」的请求地址与响应要点实现即可直接联调。</t>
    </r>
  </si>
</sst>
</file>

<file path=xl/styles.xml><?xml version="1.0" encoding="utf-8"?>
<styleSheet xmlns="http://schemas.openxmlformats.org/spreadsheetml/2006/main">
  <numFmts count="2">
    <numFmt numFmtId="300" formatCode="0.0%"/>
    <numFmt numFmtId="301" formatCode="General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name val="Consolas"/>
      <sz val="10"/>
    </font>
    <font>
      <b val="1"/>
      <color rgb="FF2F5597"/>
      <sz val="14"/>
    </font>
    <font>
      <color rgb="FF595959"/>
      <sz val="10"/>
    </font>
    <font>
      <b val="1"/>
    </font>
    <font>
      <b val="1"/>
      <color rgb="FF006100"/>
    </font>
    <font>
      <b val="1"/>
      <color rgb="FF9C0006"/>
    </font>
    <font>
      <b val="1"/>
      <color rgb="FF9C6500"/>
    </font>
    <font>
      <sz val="11"/>
    </font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4472C4"/>
        <bgColor rgb="FF4472C4"/>
      </patternFill>
    </fill>
    <fill>
      <patternFill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301" fontId="12" fillId="9" borderId="3" xfId="0"/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1" applyFill="1" applyBorder="1" applyAlignment="1">
      <alignment horizontal="center" vertical="center" wrapText="1"/>
    </xf>
    <xf numFmtId="301" fontId="12" fillId="9" borderId="1" xfId="0" applyBorder="1" applyAlignment="1">
      <alignment horizontal="center" vertical="center" wrapText="1"/>
    </xf>
    <xf numFmtId="301" fontId="12" fillId="9" borderId="1" xfId="0" applyBorder="1" applyAlignment="1">
      <alignment horizontal="left" vertical="center" wrapText="1"/>
    </xf>
    <xf numFmtId="301" fontId="4" fillId="9" borderId="1" xfId="0" applyFont="1" applyBorder="1" applyAlignment="1">
      <alignment horizontal="left" vertical="center" wrapText="1"/>
    </xf>
    <xf numFmtId="301" fontId="12" fillId="9" borderId="1" xfId="0" applyBorder="1" applyAlignment="1">
      <alignment horizontal="left" vertical="top" wrapText="1"/>
    </xf>
    <xf numFmtId="301" fontId="5" fillId="9" borderId="1" xfId="0" applyFont="1" applyBorder="1" applyAlignment="1">
      <alignment horizontal="center" vertical="center" wrapText="1"/>
    </xf>
    <xf numFmtId="301" fontId="6" fillId="9" borderId="1" xfId="0" applyFont="1" applyBorder="1" applyAlignment="1">
      <alignment horizontal="left" vertical="center" wrapText="1"/>
    </xf>
    <xf numFmtId="301" fontId="3" fillId="3" borderId="1" xfId="0" applyFont="1" applyFill="1" applyBorder="1" applyAlignment="1">
      <alignment horizontal="left" vertical="center" wrapText="1"/>
    </xf>
    <xf numFmtId="301" fontId="7" fillId="9" borderId="1" xfId="0" applyFont="1" applyBorder="1" applyAlignment="1">
      <alignment horizontal="left" vertical="center" wrapText="1"/>
    </xf>
    <xf numFmtId="301" fontId="7" fillId="4" borderId="1" xfId="0" applyFont="1" applyFill="1" applyBorder="1" applyAlignment="1">
      <alignment horizontal="center" vertical="center" wrapText="1"/>
    </xf>
    <xf numFmtId="300" fontId="7" fillId="4" borderId="1" xfId="0" applyNumberFormat="1" applyFont="1" applyFill="1" applyBorder="1" applyAlignment="1">
      <alignment horizontal="center" vertical="center" wrapText="1"/>
    </xf>
    <xf numFmtId="301" fontId="12" fillId="4" borderId="1" xfId="0" applyFill="1" applyBorder="1" applyAlignment="1">
      <alignment horizontal="left" vertical="top" wrapText="1"/>
    </xf>
    <xf numFmtId="301" fontId="12" fillId="4" borderId="1" xfId="0" applyFill="1" applyBorder="1"/>
    <xf fontId="8" fillId="5" borderId="0" xfId="0"/>
    <xf fontId="9" fillId="6" borderId="0" xfId="0"/>
    <xf fontId="10" fillId="7" borderId="0" xfId="0"/>
    <xf fontId="3" fillId="8" borderId="0" xfId="0">
      <alignment horizontal="center" vertical="center" wrapText="1"/>
    </xf>
    <xf fontId="11" fillId="0" borderId="0" xfId="0">
      <alignment horizontal="center" vertical="center" wrapText="1"/>
    </xf>
    <xf fontId="11" fillId="0" borderId="0" xfId="0">
      <alignment horizontal="left" vertical="center" wrapText="1"/>
    </xf>
    <xf fontId="3" fillId="8" borderId="2" xfId="0">
      <alignment horizontal="center" vertical="center" wrapText="1"/>
    </xf>
    <xf fontId="11" fillId="0" borderId="2" xfId="0">
      <alignment horizontal="center" vertical="center" wrapText="1"/>
    </xf>
    <xf fontId="11" fillId="0" borderId="2" xfId="0">
      <alignment horizontal="left" vertical="center" wrapText="1"/>
    </xf>
  </cellXfs>
  <cellStyles>
    <cellStyle name="Normal" xfId="0" builtinId="0" hidden="0"/>
  </cellStyles>
  <dxfs count="3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J32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6" customWidth="1"/>
    <col min="2" max="2" width="12" customWidth="1"/>
    <col min="3" max="3" width="16" customWidth="1"/>
    <col min="4" max="4" width="10" customWidth="1"/>
    <col min="5" max="5" width="30" customWidth="1"/>
    <col min="6" max="6" width="26" customWidth="1"/>
    <col min="7" max="7" width="44" customWidth="1"/>
    <col min="8" max="8" width="34" customWidth="1"/>
    <col min="9" max="9" width="26" customWidth="1"/>
    <col min="10" max="10" width="8" customWidth="1"/>
  </cols>
  <sheetData>
    <row r="1" spans="1:10" ht="26" customHeight="1">
      <c r="A1" s="4" t="s">
        <v>202</v>
      </c>
      <c r="B1" s="4" t="s">
        <v>203</v>
      </c>
      <c r="C1" s="4" t="s">
        <v>204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210</v>
      </c>
      <c r="J1" s="4" t="s">
        <v>211</v>
      </c>
    </row>
    <row r="2" spans="1:10">
      <c r="A2" s="5">
        <v>1</v>
      </c>
      <c r="B2" s="5" t="s">
        <v>212</v>
      </c>
      <c r="C2" s="6" t="s">
        <v>213</v>
      </c>
      <c r="D2" s="5" t="s">
        <v>214</v>
      </c>
      <c r="E2" s="7" t="s">
        <v>215</v>
      </c>
      <c r="F2" s="6" t="s">
        <v>216</v>
      </c>
      <c r="G2" s="6" t="s">
        <v>217</v>
      </c>
      <c r="H2" s="6" t="s">
        <v>218</v>
      </c>
      <c r="I2" s="6" t="s">
        <v>219</v>
      </c>
      <c r="J2" s="5" t="s">
        <v>220</v>
      </c>
    </row>
    <row r="3" spans="1:10">
      <c r="A3" s="5">
        <v>2</v>
      </c>
      <c r="B3" s="5" t="s">
        <v>212</v>
      </c>
      <c r="C3" s="6" t="s">
        <v>221</v>
      </c>
      <c r="D3" s="5" t="s">
        <v>214</v>
      </c>
      <c r="E3" s="7" t="s">
        <v>222</v>
      </c>
      <c r="F3" s="6" t="s">
        <v>223</v>
      </c>
      <c r="G3" s="6" t="s">
        <v>224</v>
      </c>
      <c r="H3" s="6" t="s">
        <v>218</v>
      </c>
      <c r="I3" s="6" t="s">
        <v>219</v>
      </c>
      <c r="J3" s="5" t="s">
        <v>225</v>
      </c>
    </row>
    <row r="4" spans="1:10">
      <c r="A4" s="5">
        <v>3</v>
      </c>
      <c r="B4" s="5" t="s">
        <v>212</v>
      </c>
      <c r="C4" s="6" t="s">
        <v>226</v>
      </c>
      <c r="D4" s="5" t="s">
        <v>227</v>
      </c>
      <c r="E4" s="7" t="s">
        <v>228</v>
      </c>
      <c r="F4" s="6" t="s">
        <v>223</v>
      </c>
      <c r="G4" s="6" t="s">
        <v>229</v>
      </c>
      <c r="H4" s="6" t="s">
        <v>230</v>
      </c>
      <c r="I4" s="6" t="s">
        <v>219</v>
      </c>
      <c r="J4" s="5" t="s">
        <v>225</v>
      </c>
    </row>
    <row r="5" spans="1:10">
      <c r="A5" s="5">
        <v>4</v>
      </c>
      <c r="B5" s="5" t="s">
        <v>231</v>
      </c>
      <c r="C5" s="6" t="s">
        <v>232</v>
      </c>
      <c r="D5" s="5" t="s">
        <v>227</v>
      </c>
      <c r="E5" s="7" t="s">
        <v>233</v>
      </c>
      <c r="F5" s="6" t="s">
        <v>223</v>
      </c>
      <c r="G5" s="6" t="s">
        <v>234</v>
      </c>
      <c r="H5" s="6" t="s">
        <v>235</v>
      </c>
      <c r="I5" s="6" t="s">
        <v>236</v>
      </c>
      <c r="J5" s="5" t="s">
        <v>225</v>
      </c>
    </row>
    <row r="6" spans="1:10">
      <c r="A6" s="5">
        <v>5</v>
      </c>
      <c r="B6" s="5" t="s">
        <v>231</v>
      </c>
      <c r="C6" s="6" t="s">
        <v>237</v>
      </c>
      <c r="D6" s="5" t="s">
        <v>227</v>
      </c>
      <c r="E6" s="7" t="s">
        <v>238</v>
      </c>
      <c r="F6" s="6" t="s">
        <v>223</v>
      </c>
      <c r="G6" s="6" t="s">
        <v>239</v>
      </c>
      <c r="H6" s="6" t="s">
        <v>240</v>
      </c>
      <c r="I6" s="6" t="s">
        <v>241</v>
      </c>
      <c r="J6" s="5" t="s">
        <v>225</v>
      </c>
    </row>
    <row r="7" spans="1:10">
      <c r="A7" s="5">
        <v>6</v>
      </c>
      <c r="B7" s="5" t="s">
        <v>242</v>
      </c>
      <c r="C7" s="6" t="s">
        <v>243</v>
      </c>
      <c r="D7" s="5" t="s">
        <v>227</v>
      </c>
      <c r="E7" s="7" t="s">
        <v>244</v>
      </c>
      <c r="F7" s="6" t="s">
        <v>223</v>
      </c>
      <c r="G7" s="6" t="s">
        <v>245</v>
      </c>
      <c r="H7" s="6" t="s">
        <v>246</v>
      </c>
      <c r="I7" s="6" t="s">
        <v>247</v>
      </c>
      <c r="J7" s="5" t="s">
        <v>225</v>
      </c>
    </row>
    <row r="8" spans="1:10">
      <c r="A8" s="5">
        <v>7</v>
      </c>
      <c r="B8" s="5" t="s">
        <v>242</v>
      </c>
      <c r="C8" s="6" t="s">
        <v>248</v>
      </c>
      <c r="D8" s="5" t="s">
        <v>227</v>
      </c>
      <c r="E8" s="7" t="s">
        <v>249</v>
      </c>
      <c r="F8" s="6" t="s">
        <v>223</v>
      </c>
      <c r="G8" s="6" t="s">
        <v>250</v>
      </c>
      <c r="H8" s="6" t="s">
        <v>251</v>
      </c>
      <c r="I8" s="6" t="s">
        <v>252</v>
      </c>
      <c r="J8" s="5" t="s">
        <v>225</v>
      </c>
    </row>
    <row r="9" spans="1:10">
      <c r="A9" s="5">
        <v>8</v>
      </c>
      <c r="B9" s="5" t="s">
        <v>242</v>
      </c>
      <c r="C9" s="6" t="s">
        <v>253</v>
      </c>
      <c r="D9" s="5" t="s">
        <v>227</v>
      </c>
      <c r="E9" s="7" t="s">
        <v>254</v>
      </c>
      <c r="F9" s="6" t="s">
        <v>223</v>
      </c>
      <c r="G9" s="6" t="s">
        <v>255</v>
      </c>
      <c r="H9" s="6" t="s">
        <v>256</v>
      </c>
      <c r="I9" s="6" t="s">
        <v>252</v>
      </c>
      <c r="J9" s="5" t="s">
        <v>225</v>
      </c>
    </row>
    <row r="10" spans="1:10">
      <c r="A10" s="5">
        <v>9</v>
      </c>
      <c r="B10" s="5" t="s">
        <v>242</v>
      </c>
      <c r="C10" s="6" t="s">
        <v>257</v>
      </c>
      <c r="D10" s="5" t="s">
        <v>227</v>
      </c>
      <c r="E10" s="7" t="s">
        <v>258</v>
      </c>
      <c r="F10" s="6" t="s">
        <v>223</v>
      </c>
      <c r="G10" s="6" t="s">
        <v>259</v>
      </c>
      <c r="H10" s="6" t="s">
        <v>260</v>
      </c>
      <c r="I10" s="6" t="s">
        <v>252</v>
      </c>
      <c r="J10" s="5" t="s">
        <v>225</v>
      </c>
    </row>
    <row r="11" spans="1:10">
      <c r="A11" s="5">
        <v>10</v>
      </c>
      <c r="B11" s="5" t="s">
        <v>261</v>
      </c>
      <c r="C11" s="6" t="s">
        <v>262</v>
      </c>
      <c r="D11" s="5" t="s">
        <v>227</v>
      </c>
      <c r="E11" s="7" t="s">
        <v>263</v>
      </c>
      <c r="F11" s="6" t="s">
        <v>264</v>
      </c>
      <c r="G11" s="6" t="s">
        <v>265</v>
      </c>
      <c r="H11" s="6" t="s">
        <v>266</v>
      </c>
      <c r="I11" s="6" t="s">
        <v>267</v>
      </c>
      <c r="J11" s="5" t="s">
        <v>225</v>
      </c>
    </row>
    <row r="12" spans="1:10">
      <c r="A12" s="5">
        <v>11</v>
      </c>
      <c r="B12" s="5" t="s">
        <v>261</v>
      </c>
      <c r="C12" s="6" t="s">
        <v>268</v>
      </c>
      <c r="D12" s="5" t="s">
        <v>227</v>
      </c>
      <c r="E12" s="7" t="s">
        <v>269</v>
      </c>
      <c r="F12" s="6" t="s">
        <v>270</v>
      </c>
      <c r="G12" s="6" t="s">
        <v>271</v>
      </c>
      <c r="H12" s="6" t="s">
        <v>272</v>
      </c>
      <c r="I12" s="6" t="s">
        <v>273</v>
      </c>
      <c r="J12" s="5" t="s">
        <v>225</v>
      </c>
    </row>
    <row r="13" spans="1:10">
      <c r="A13" s="5">
        <v>12</v>
      </c>
      <c r="B13" s="5" t="s">
        <v>274</v>
      </c>
      <c r="C13" s="6" t="s">
        <v>275</v>
      </c>
      <c r="D13" s="5" t="s">
        <v>227</v>
      </c>
      <c r="E13" s="7" t="s">
        <v>276</v>
      </c>
      <c r="F13" s="6" t="s">
        <v>277</v>
      </c>
      <c r="G13" s="6" t="s">
        <v>278</v>
      </c>
      <c r="H13" s="6" t="s">
        <v>279</v>
      </c>
      <c r="I13" s="6" t="s">
        <v>280</v>
      </c>
      <c r="J13" s="5" t="s">
        <v>225</v>
      </c>
    </row>
    <row r="14" spans="1:10">
      <c r="A14" s="5">
        <v>13</v>
      </c>
      <c r="B14" s="5" t="s">
        <v>281</v>
      </c>
      <c r="C14" s="6" t="s">
        <v>282</v>
      </c>
      <c r="D14" s="5" t="s">
        <v>227</v>
      </c>
      <c r="E14" s="7" t="s">
        <v>283</v>
      </c>
      <c r="F14" s="6" t="s">
        <v>284</v>
      </c>
      <c r="G14" s="6" t="s">
        <v>285</v>
      </c>
      <c r="H14" s="6" t="s">
        <v>286</v>
      </c>
      <c r="I14" s="6" t="s">
        <v>287</v>
      </c>
      <c r="J14" s="5" t="s">
        <v>225</v>
      </c>
    </row>
    <row r="15" spans="1:10">
      <c r="A15" s="5">
        <v>14</v>
      </c>
      <c r="B15" s="5" t="s">
        <v>281</v>
      </c>
      <c r="C15" s="6" t="s">
        <v>288</v>
      </c>
      <c r="D15" s="5" t="s">
        <v>227</v>
      </c>
      <c r="E15" s="7" t="s">
        <v>289</v>
      </c>
      <c r="F15" s="6" t="s">
        <v>223</v>
      </c>
      <c r="G15" s="6" t="s">
        <v>290</v>
      </c>
      <c r="H15" s="6" t="s">
        <v>291</v>
      </c>
      <c r="I15" s="6" t="s">
        <v>287</v>
      </c>
      <c r="J15" s="5" t="s">
        <v>225</v>
      </c>
    </row>
    <row r="16" spans="1:10">
      <c r="A16" s="5">
        <v>15</v>
      </c>
      <c r="B16" s="5" t="s">
        <v>281</v>
      </c>
      <c r="C16" s="6" t="s">
        <v>292</v>
      </c>
      <c r="D16" s="5" t="s">
        <v>227</v>
      </c>
      <c r="E16" s="7" t="s">
        <v>293</v>
      </c>
      <c r="F16" s="6" t="s">
        <v>223</v>
      </c>
      <c r="G16" s="6" t="s">
        <v>294</v>
      </c>
      <c r="H16" s="6" t="s">
        <v>295</v>
      </c>
      <c r="I16" s="6" t="s">
        <v>287</v>
      </c>
      <c r="J16" s="5" t="s">
        <v>225</v>
      </c>
    </row>
    <row r="17" spans="1:10">
      <c r="A17" s="5">
        <v>16</v>
      </c>
      <c r="B17" s="5" t="s">
        <v>281</v>
      </c>
      <c r="C17" s="6" t="s">
        <v>296</v>
      </c>
      <c r="D17" s="5" t="s">
        <v>227</v>
      </c>
      <c r="E17" s="7" t="s">
        <v>297</v>
      </c>
      <c r="F17" s="6" t="s">
        <v>223</v>
      </c>
      <c r="G17" s="6" t="s">
        <v>298</v>
      </c>
      <c r="H17" s="6" t="s">
        <v>299</v>
      </c>
      <c r="I17" s="6" t="s">
        <v>300</v>
      </c>
      <c r="J17" s="5" t="s">
        <v>225</v>
      </c>
    </row>
    <row r="18" spans="1:10">
      <c r="A18" s="5">
        <v>17</v>
      </c>
      <c r="B18" s="5" t="s">
        <v>281</v>
      </c>
      <c r="C18" s="6" t="s">
        <v>301</v>
      </c>
      <c r="D18" s="5" t="s">
        <v>227</v>
      </c>
      <c r="E18" s="7" t="s">
        <v>302</v>
      </c>
      <c r="F18" s="6" t="s">
        <v>223</v>
      </c>
      <c r="G18" s="6" t="s">
        <v>303</v>
      </c>
      <c r="H18" s="6" t="s">
        <v>304</v>
      </c>
      <c r="I18" s="6" t="s">
        <v>287</v>
      </c>
      <c r="J18" s="5" t="s">
        <v>225</v>
      </c>
    </row>
    <row r="19" spans="1:10">
      <c r="A19" s="5">
        <v>18</v>
      </c>
      <c r="B19" s="5" t="s">
        <v>305</v>
      </c>
      <c r="C19" s="6" t="s">
        <v>306</v>
      </c>
      <c r="D19" s="5" t="s">
        <v>227</v>
      </c>
      <c r="E19" s="7" t="s">
        <v>307</v>
      </c>
      <c r="F19" s="6" t="s">
        <v>223</v>
      </c>
      <c r="G19" s="6" t="s">
        <v>308</v>
      </c>
      <c r="H19" s="6" t="s">
        <v>309</v>
      </c>
      <c r="I19" s="6" t="s">
        <v>310</v>
      </c>
      <c r="J19" s="5" t="s">
        <v>225</v>
      </c>
    </row>
    <row r="20" spans="1:10">
      <c r="A20" s="5">
        <v>19</v>
      </c>
      <c r="B20" s="5" t="s">
        <v>305</v>
      </c>
      <c r="C20" s="6" t="s">
        <v>311</v>
      </c>
      <c r="D20" s="5" t="s">
        <v>227</v>
      </c>
      <c r="E20" s="7" t="s">
        <v>312</v>
      </c>
      <c r="F20" s="6" t="s">
        <v>223</v>
      </c>
      <c r="G20" s="6" t="s">
        <v>313</v>
      </c>
      <c r="H20" s="6" t="s">
        <v>309</v>
      </c>
      <c r="I20" s="6" t="s">
        <v>310</v>
      </c>
      <c r="J20" s="5" t="s">
        <v>225</v>
      </c>
    </row>
    <row r="21" spans="1:10">
      <c r="A21" s="5">
        <v>20</v>
      </c>
      <c r="B21" s="5" t="s">
        <v>305</v>
      </c>
      <c r="C21" s="6" t="s">
        <v>314</v>
      </c>
      <c r="D21" s="5" t="s">
        <v>227</v>
      </c>
      <c r="E21" s="7" t="s">
        <v>315</v>
      </c>
      <c r="F21" s="6" t="s">
        <v>223</v>
      </c>
      <c r="G21" s="6" t="s">
        <v>316</v>
      </c>
      <c r="H21" s="6" t="s">
        <v>309</v>
      </c>
      <c r="I21" s="6" t="s">
        <v>310</v>
      </c>
      <c r="J21" s="5" t="s">
        <v>225</v>
      </c>
    </row>
    <row r="22" spans="1:10">
      <c r="A22" s="5">
        <v>21</v>
      </c>
      <c r="B22" s="5" t="s">
        <v>305</v>
      </c>
      <c r="C22" s="6" t="s">
        <v>317</v>
      </c>
      <c r="D22" s="5" t="s">
        <v>227</v>
      </c>
      <c r="E22" s="7" t="s">
        <v>318</v>
      </c>
      <c r="F22" s="6" t="s">
        <v>223</v>
      </c>
      <c r="G22" s="6" t="s">
        <v>319</v>
      </c>
      <c r="H22" s="6" t="s">
        <v>320</v>
      </c>
      <c r="I22" s="6" t="s">
        <v>310</v>
      </c>
      <c r="J22" s="5" t="s">
        <v>225</v>
      </c>
    </row>
    <row r="23" spans="1:10">
      <c r="A23" s="5">
        <v>22</v>
      </c>
      <c r="B23" s="5" t="s">
        <v>305</v>
      </c>
      <c r="C23" s="6" t="s">
        <v>321</v>
      </c>
      <c r="D23" s="5" t="s">
        <v>227</v>
      </c>
      <c r="E23" s="7" t="s">
        <v>322</v>
      </c>
      <c r="F23" s="6" t="s">
        <v>223</v>
      </c>
      <c r="G23" s="6" t="s">
        <v>323</v>
      </c>
      <c r="H23" s="6" t="s">
        <v>324</v>
      </c>
      <c r="I23" s="6" t="s">
        <v>310</v>
      </c>
      <c r="J23" s="5" t="s">
        <v>225</v>
      </c>
    </row>
    <row r="24" spans="1:10">
      <c r="A24" s="5">
        <v>23</v>
      </c>
      <c r="B24" s="5" t="s">
        <v>305</v>
      </c>
      <c r="C24" s="6" t="s">
        <v>325</v>
      </c>
      <c r="D24" s="5" t="s">
        <v>214</v>
      </c>
      <c r="E24" s="7" t="s">
        <v>322</v>
      </c>
      <c r="F24" s="6" t="s">
        <v>326</v>
      </c>
      <c r="G24" s="6" t="s">
        <v>327</v>
      </c>
      <c r="H24" s="6" t="s">
        <v>328</v>
      </c>
      <c r="I24" s="6" t="s">
        <v>310</v>
      </c>
      <c r="J24" s="5" t="s">
        <v>225</v>
      </c>
    </row>
    <row r="25" spans="1:10">
      <c r="A25" s="5">
        <v>24</v>
      </c>
      <c r="B25" s="5" t="s">
        <v>305</v>
      </c>
      <c r="C25" s="6" t="s">
        <v>329</v>
      </c>
      <c r="D25" s="5" t="s">
        <v>214</v>
      </c>
      <c r="E25" s="7" t="s">
        <v>330</v>
      </c>
      <c r="F25" s="6" t="s">
        <v>331</v>
      </c>
      <c r="G25" s="6" t="s">
        <v>332</v>
      </c>
      <c r="H25" s="6" t="s">
        <v>333</v>
      </c>
      <c r="I25" s="6" t="s">
        <v>310</v>
      </c>
      <c r="J25" s="5" t="s">
        <v>225</v>
      </c>
    </row>
    <row r="26" spans="1:10">
      <c r="A26" s="5">
        <v>25</v>
      </c>
      <c r="B26" s="5" t="s">
        <v>334</v>
      </c>
      <c r="C26" s="6" t="s">
        <v>335</v>
      </c>
      <c r="D26" s="5" t="s">
        <v>227</v>
      </c>
      <c r="E26" s="7" t="s">
        <v>336</v>
      </c>
      <c r="F26" s="6" t="s">
        <v>223</v>
      </c>
      <c r="G26" s="6" t="s">
        <v>337</v>
      </c>
      <c r="H26" s="6" t="s">
        <v>338</v>
      </c>
      <c r="I26" s="6" t="s">
        <v>339</v>
      </c>
      <c r="J26" s="5" t="s">
        <v>225</v>
      </c>
    </row>
    <row r="27" spans="1:10">
      <c r="A27" s="5">
        <v>26</v>
      </c>
      <c r="B27" s="5" t="s">
        <v>334</v>
      </c>
      <c r="C27" s="6" t="s">
        <v>340</v>
      </c>
      <c r="D27" s="5" t="s">
        <v>227</v>
      </c>
      <c r="E27" s="7" t="s">
        <v>341</v>
      </c>
      <c r="F27" s="6" t="s">
        <v>223</v>
      </c>
      <c r="G27" s="6" t="s">
        <v>342</v>
      </c>
      <c r="H27" s="6" t="s">
        <v>343</v>
      </c>
      <c r="I27" s="6" t="s">
        <v>339</v>
      </c>
      <c r="J27" s="5" t="s">
        <v>225</v>
      </c>
    </row>
    <row r="28" spans="1:10">
      <c r="A28" s="5">
        <v>27</v>
      </c>
      <c r="B28" s="5" t="s">
        <v>344</v>
      </c>
      <c r="C28" s="6" t="s">
        <v>345</v>
      </c>
      <c r="D28" s="5" t="s">
        <v>227</v>
      </c>
      <c r="E28" s="7" t="s">
        <v>346</v>
      </c>
      <c r="F28" s="6" t="s">
        <v>223</v>
      </c>
      <c r="G28" s="6" t="s">
        <v>347</v>
      </c>
      <c r="H28" s="6" t="s">
        <v>348</v>
      </c>
      <c r="I28" s="6" t="s">
        <v>349</v>
      </c>
      <c r="J28" s="5" t="s">
        <v>225</v>
      </c>
    </row>
    <row r="29" spans="1:10">
      <c r="A29" s="5">
        <v>28</v>
      </c>
      <c r="B29" s="5" t="s">
        <v>344</v>
      </c>
      <c r="C29" s="6" t="s">
        <v>350</v>
      </c>
      <c r="D29" s="5" t="s">
        <v>227</v>
      </c>
      <c r="E29" s="7" t="s">
        <v>351</v>
      </c>
      <c r="F29" s="6" t="s">
        <v>223</v>
      </c>
      <c r="G29" s="6" t="s">
        <v>352</v>
      </c>
      <c r="H29" s="6" t="s">
        <v>353</v>
      </c>
      <c r="I29" s="6" t="s">
        <v>354</v>
      </c>
      <c r="J29" s="5" t="s">
        <v>225</v>
      </c>
    </row>
    <row r="30" spans="1:10">
      <c r="A30" s="5">
        <v>29</v>
      </c>
      <c r="B30" s="5" t="s">
        <v>344</v>
      </c>
      <c r="C30" s="6" t="s">
        <v>355</v>
      </c>
      <c r="D30" s="5" t="s">
        <v>227</v>
      </c>
      <c r="E30" s="7" t="s">
        <v>356</v>
      </c>
      <c r="F30" s="6" t="s">
        <v>223</v>
      </c>
      <c r="G30" s="6" t="s">
        <v>357</v>
      </c>
      <c r="H30" s="6" t="s">
        <v>358</v>
      </c>
      <c r="I30" s="6" t="s">
        <v>349</v>
      </c>
      <c r="J30" s="5" t="s">
        <v>225</v>
      </c>
    </row>
    <row r="31" spans="1:10">
      <c r="A31" s="5">
        <v>30</v>
      </c>
      <c r="B31" s="5" t="s">
        <v>359</v>
      </c>
      <c r="C31" s="6" t="s">
        <v>360</v>
      </c>
      <c r="D31" s="5" t="s">
        <v>227</v>
      </c>
      <c r="E31" s="7" t="s">
        <v>361</v>
      </c>
      <c r="F31" s="6" t="s">
        <v>362</v>
      </c>
      <c r="G31" s="6" t="s">
        <v>363</v>
      </c>
      <c r="H31" s="6" t="s">
        <v>364</v>
      </c>
      <c r="I31" s="6" t="s">
        <v>365</v>
      </c>
      <c r="J31" s="5" t="s">
        <v>225</v>
      </c>
    </row>
    <row r="32" spans="1:10">
      <c r="A32" s="5">
        <v>31</v>
      </c>
      <c r="B32" s="5" t="s">
        <v>359</v>
      </c>
      <c r="C32" s="6" t="s">
        <v>366</v>
      </c>
      <c r="D32" s="5" t="s">
        <v>227</v>
      </c>
      <c r="E32" s="7" t="s">
        <v>367</v>
      </c>
      <c r="F32" s="6" t="s">
        <v>331</v>
      </c>
      <c r="G32" s="6" t="s">
        <v>368</v>
      </c>
      <c r="H32" s="6" t="s">
        <v>369</v>
      </c>
      <c r="I32" s="6" t="s">
        <v>365</v>
      </c>
      <c r="J32" s="5" t="s">
        <v>225</v>
      </c>
    </row>
  </sheetData>
  <autoFilter ref="A1:J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/>
  </sheetPr>
  <dimension ref="K49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14" customWidth="1"/>
    <col min="2" max="2" width="12" customWidth="1"/>
    <col min="3" max="3" width="24" customWidth="1"/>
    <col min="4" max="4" width="10" customWidth="1"/>
    <col min="5" max="5" width="8" customWidth="1"/>
    <col min="6" max="6" width="22" customWidth="1"/>
    <col min="7" max="7" width="40" customWidth="1"/>
    <col min="8" max="8" width="34" customWidth="1"/>
    <col min="9" max="9" width="44" customWidth="1"/>
    <col min="10" max="10" width="18" customWidth="1"/>
    <col min="11" max="11" width="10" customWidth="1"/>
  </cols>
  <sheetData>
    <row r="1" spans="1:11" ht="26" customHeight="1">
      <c r="A1" s="4" t="s">
        <v>370</v>
      </c>
      <c r="B1" s="4" t="s">
        <v>203</v>
      </c>
      <c r="C1" s="4" t="s">
        <v>371</v>
      </c>
      <c r="D1" s="4" t="s">
        <v>372</v>
      </c>
      <c r="E1" s="4" t="s">
        <v>373</v>
      </c>
      <c r="F1" s="4" t="s">
        <v>374</v>
      </c>
      <c r="G1" s="4" t="s">
        <v>375</v>
      </c>
      <c r="H1" s="4" t="s">
        <v>376</v>
      </c>
      <c r="I1" s="4" t="s">
        <v>377</v>
      </c>
      <c r="J1" s="4" t="s">
        <v>378</v>
      </c>
      <c r="K1" s="4" t="s">
        <v>379</v>
      </c>
    </row>
    <row r="2" spans="1:11" ht="30" customHeight="1">
      <c r="A2" s="5" t="s">
        <v>380</v>
      </c>
      <c r="B2" s="5" t="s">
        <v>212</v>
      </c>
      <c r="C2" s="6" t="s">
        <v>381</v>
      </c>
      <c r="D2" s="5" t="s">
        <v>382</v>
      </c>
      <c r="E2" s="5" t="s">
        <v>383</v>
      </c>
      <c r="F2" s="6" t="s">
        <v>384</v>
      </c>
      <c r="G2" s="6" t="s">
        <v>385</v>
      </c>
      <c r="H2" s="6" t="s">
        <v>386</v>
      </c>
      <c r="I2" s="6" t="s">
        <v>387</v>
      </c>
      <c r="J2" s="5" t="s">
        <v>388</v>
      </c>
      <c r="K2" s="5" t="s">
        <v>389</v>
      </c>
    </row>
    <row r="3" spans="1:11" ht="30" customHeight="1">
      <c r="A3" s="5" t="s">
        <v>390</v>
      </c>
      <c r="B3" s="5" t="s">
        <v>212</v>
      </c>
      <c r="C3" s="6" t="s">
        <v>391</v>
      </c>
      <c r="D3" s="5" t="s">
        <v>392</v>
      </c>
      <c r="E3" s="5" t="s">
        <v>383</v>
      </c>
      <c r="F3" s="6" t="s">
        <v>393</v>
      </c>
      <c r="G3" s="6" t="s">
        <v>394</v>
      </c>
      <c r="H3" s="6" t="s">
        <v>386</v>
      </c>
      <c r="I3" s="6" t="s">
        <v>395</v>
      </c>
      <c r="J3" s="5" t="s">
        <v>388</v>
      </c>
      <c r="K3" s="5" t="s">
        <v>389</v>
      </c>
    </row>
    <row r="4" spans="1:11" ht="30" customHeight="1">
      <c r="A4" s="5" t="s">
        <v>396</v>
      </c>
      <c r="B4" s="5" t="s">
        <v>212</v>
      </c>
      <c r="C4" s="6" t="s">
        <v>397</v>
      </c>
      <c r="D4" s="5" t="s">
        <v>398</v>
      </c>
      <c r="E4" s="5" t="s">
        <v>383</v>
      </c>
      <c r="F4" s="6" t="s">
        <v>393</v>
      </c>
      <c r="G4" s="6" t="s">
        <v>399</v>
      </c>
      <c r="H4" s="6" t="s">
        <v>386</v>
      </c>
      <c r="I4" s="6" t="s">
        <v>400</v>
      </c>
      <c r="J4" s="5" t="s">
        <v>388</v>
      </c>
      <c r="K4" s="5" t="s">
        <v>389</v>
      </c>
    </row>
    <row r="5" spans="1:11" ht="30" customHeight="1">
      <c r="A5" s="5" t="s">
        <v>401</v>
      </c>
      <c r="B5" s="5" t="s">
        <v>212</v>
      </c>
      <c r="C5" s="6" t="s">
        <v>402</v>
      </c>
      <c r="D5" s="5" t="s">
        <v>398</v>
      </c>
      <c r="E5" s="5" t="s">
        <v>403</v>
      </c>
      <c r="F5" s="6" t="s">
        <v>393</v>
      </c>
      <c r="G5" s="6" t="s">
        <v>404</v>
      </c>
      <c r="H5" s="6" t="s">
        <v>386</v>
      </c>
      <c r="I5" s="6" t="s">
        <v>405</v>
      </c>
      <c r="J5" s="5" t="s">
        <v>388</v>
      </c>
      <c r="K5" s="5" t="s">
        <v>389</v>
      </c>
    </row>
    <row r="6" spans="1:11" ht="30" customHeight="1">
      <c r="A6" s="5" t="s">
        <v>406</v>
      </c>
      <c r="B6" s="5" t="s">
        <v>212</v>
      </c>
      <c r="C6" s="6" t="s">
        <v>407</v>
      </c>
      <c r="D6" s="5" t="s">
        <v>398</v>
      </c>
      <c r="E6" s="5" t="s">
        <v>383</v>
      </c>
      <c r="F6" s="6" t="s">
        <v>408</v>
      </c>
      <c r="G6" s="6" t="s">
        <v>409</v>
      </c>
      <c r="H6" s="6" t="s">
        <v>410</v>
      </c>
      <c r="I6" s="6" t="s">
        <v>411</v>
      </c>
      <c r="J6" s="5" t="s">
        <v>388</v>
      </c>
      <c r="K6" s="5" t="s">
        <v>389</v>
      </c>
    </row>
    <row r="7" spans="1:11" ht="30" customHeight="1">
      <c r="A7" s="5" t="s">
        <v>412</v>
      </c>
      <c r="B7" s="5" t="s">
        <v>212</v>
      </c>
      <c r="C7" s="6" t="s">
        <v>413</v>
      </c>
      <c r="D7" s="5" t="s">
        <v>392</v>
      </c>
      <c r="E7" s="5" t="s">
        <v>383</v>
      </c>
      <c r="F7" s="6" t="s">
        <v>414</v>
      </c>
      <c r="G7" s="6" t="s">
        <v>415</v>
      </c>
      <c r="H7" s="6" t="s">
        <v>416</v>
      </c>
      <c r="I7" s="6" t="s">
        <v>417</v>
      </c>
      <c r="J7" s="5" t="s">
        <v>388</v>
      </c>
      <c r="K7" s="5" t="s">
        <v>389</v>
      </c>
    </row>
    <row r="8" spans="1:11" ht="30" customHeight="1">
      <c r="A8" s="5" t="s">
        <v>418</v>
      </c>
      <c r="B8" s="5" t="s">
        <v>212</v>
      </c>
      <c r="C8" s="6" t="s">
        <v>419</v>
      </c>
      <c r="D8" s="5" t="s">
        <v>382</v>
      </c>
      <c r="E8" s="5" t="s">
        <v>403</v>
      </c>
      <c r="F8" s="6" t="s">
        <v>414</v>
      </c>
      <c r="G8" s="6" t="s">
        <v>420</v>
      </c>
      <c r="H8" s="6" t="s">
        <v>421</v>
      </c>
      <c r="I8" s="6" t="s">
        <v>422</v>
      </c>
      <c r="J8" s="5" t="s">
        <v>388</v>
      </c>
      <c r="K8" s="5" t="s">
        <v>389</v>
      </c>
    </row>
    <row r="9" spans="1:11" ht="30" customHeight="1">
      <c r="A9" s="5" t="s">
        <v>423</v>
      </c>
      <c r="B9" s="5" t="s">
        <v>212</v>
      </c>
      <c r="C9" s="6" t="s">
        <v>424</v>
      </c>
      <c r="D9" s="5" t="s">
        <v>425</v>
      </c>
      <c r="E9" s="5" t="s">
        <v>383</v>
      </c>
      <c r="F9" s="6" t="s">
        <v>426</v>
      </c>
      <c r="G9" s="6" t="s">
        <v>427</v>
      </c>
      <c r="H9" s="6" t="s">
        <v>428</v>
      </c>
      <c r="I9" s="6" t="s">
        <v>429</v>
      </c>
      <c r="J9" s="5" t="s">
        <v>388</v>
      </c>
      <c r="K9" s="5" t="s">
        <v>389</v>
      </c>
    </row>
    <row r="10" spans="1:11" ht="30" customHeight="1">
      <c r="A10" s="5" t="s">
        <v>430</v>
      </c>
      <c r="B10" s="5" t="s">
        <v>231</v>
      </c>
      <c r="C10" s="6" t="s">
        <v>431</v>
      </c>
      <c r="D10" s="5" t="s">
        <v>382</v>
      </c>
      <c r="E10" s="5" t="s">
        <v>383</v>
      </c>
      <c r="F10" s="6" t="s">
        <v>414</v>
      </c>
      <c r="G10" s="6" t="s">
        <v>432</v>
      </c>
      <c r="H10" s="6" t="s">
        <v>433</v>
      </c>
      <c r="I10" s="6" t="s">
        <v>434</v>
      </c>
      <c r="J10" s="5" t="s">
        <v>435</v>
      </c>
      <c r="K10" s="5" t="s">
        <v>389</v>
      </c>
    </row>
    <row r="11" spans="1:11" ht="30" customHeight="1">
      <c r="A11" s="5" t="s">
        <v>436</v>
      </c>
      <c r="B11" s="5" t="s">
        <v>231</v>
      </c>
      <c r="C11" s="6" t="s">
        <v>437</v>
      </c>
      <c r="D11" s="5" t="s">
        <v>382</v>
      </c>
      <c r="E11" s="5" t="s">
        <v>403</v>
      </c>
      <c r="F11" s="6" t="s">
        <v>438</v>
      </c>
      <c r="G11" s="6" t="s">
        <v>439</v>
      </c>
      <c r="H11" s="6" t="s">
        <v>433</v>
      </c>
      <c r="I11" s="6" t="s">
        <v>440</v>
      </c>
      <c r="J11" s="5" t="s">
        <v>441</v>
      </c>
      <c r="K11" s="5" t="s">
        <v>389</v>
      </c>
    </row>
    <row r="12" spans="1:11" ht="30" customHeight="1">
      <c r="A12" s="5" t="s">
        <v>442</v>
      </c>
      <c r="B12" s="5" t="s">
        <v>231</v>
      </c>
      <c r="C12" s="6" t="s">
        <v>443</v>
      </c>
      <c r="D12" s="5" t="s">
        <v>382</v>
      </c>
      <c r="E12" s="5" t="s">
        <v>403</v>
      </c>
      <c r="F12" s="6" t="s">
        <v>414</v>
      </c>
      <c r="G12" s="6" t="s">
        <v>444</v>
      </c>
      <c r="H12" s="6" t="s">
        <v>445</v>
      </c>
      <c r="I12" s="6" t="s">
        <v>446</v>
      </c>
      <c r="J12" s="5" t="s">
        <v>435</v>
      </c>
      <c r="K12" s="5" t="s">
        <v>389</v>
      </c>
    </row>
    <row r="13" spans="1:11" ht="30" customHeight="1">
      <c r="A13" s="5" t="s">
        <v>447</v>
      </c>
      <c r="B13" s="5" t="s">
        <v>231</v>
      </c>
      <c r="C13" s="6" t="s">
        <v>448</v>
      </c>
      <c r="D13" s="5" t="s">
        <v>382</v>
      </c>
      <c r="E13" s="5" t="s">
        <v>449</v>
      </c>
      <c r="F13" s="6" t="s">
        <v>414</v>
      </c>
      <c r="G13" s="6" t="s">
        <v>450</v>
      </c>
      <c r="H13" s="6" t="s">
        <v>451</v>
      </c>
      <c r="I13" s="6" t="s">
        <v>452</v>
      </c>
      <c r="J13" s="5" t="s">
        <v>441</v>
      </c>
      <c r="K13" s="5" t="s">
        <v>389</v>
      </c>
    </row>
    <row r="14" spans="1:11" ht="30" customHeight="1">
      <c r="A14" s="5" t="s">
        <v>453</v>
      </c>
      <c r="B14" s="5" t="s">
        <v>242</v>
      </c>
      <c r="C14" s="6" t="s">
        <v>454</v>
      </c>
      <c r="D14" s="5" t="s">
        <v>382</v>
      </c>
      <c r="E14" s="5" t="s">
        <v>383</v>
      </c>
      <c r="F14" s="6" t="s">
        <v>414</v>
      </c>
      <c r="G14" s="6" t="s">
        <v>455</v>
      </c>
      <c r="H14" s="6" t="s">
        <v>456</v>
      </c>
      <c r="I14" s="6" t="s">
        <v>457</v>
      </c>
      <c r="J14" s="5" t="s">
        <v>435</v>
      </c>
      <c r="K14" s="5" t="s">
        <v>389</v>
      </c>
    </row>
    <row r="15" spans="1:11" ht="30" customHeight="1">
      <c r="A15" s="5" t="s">
        <v>458</v>
      </c>
      <c r="B15" s="5" t="s">
        <v>242</v>
      </c>
      <c r="C15" s="6" t="s">
        <v>459</v>
      </c>
      <c r="D15" s="5" t="s">
        <v>460</v>
      </c>
      <c r="E15" s="5" t="s">
        <v>383</v>
      </c>
      <c r="F15" s="6" t="s">
        <v>414</v>
      </c>
      <c r="G15" s="6" t="s">
        <v>461</v>
      </c>
      <c r="H15" s="6" t="s">
        <v>456</v>
      </c>
      <c r="I15" s="6" t="s">
        <v>462</v>
      </c>
      <c r="J15" s="5" t="s">
        <v>388</v>
      </c>
      <c r="K15" s="5" t="s">
        <v>389</v>
      </c>
    </row>
    <row r="16" spans="1:11" ht="30" customHeight="1">
      <c r="A16" s="5" t="s">
        <v>463</v>
      </c>
      <c r="B16" s="5" t="s">
        <v>242</v>
      </c>
      <c r="C16" s="6" t="s">
        <v>464</v>
      </c>
      <c r="D16" s="5" t="s">
        <v>460</v>
      </c>
      <c r="E16" s="5" t="s">
        <v>383</v>
      </c>
      <c r="F16" s="6" t="s">
        <v>465</v>
      </c>
      <c r="G16" s="6" t="s">
        <v>466</v>
      </c>
      <c r="H16" s="6" t="s">
        <v>467</v>
      </c>
      <c r="I16" s="6" t="s">
        <v>468</v>
      </c>
      <c r="J16" s="5" t="s">
        <v>441</v>
      </c>
      <c r="K16" s="5" t="s">
        <v>389</v>
      </c>
    </row>
    <row r="17" spans="1:11" ht="30" customHeight="1">
      <c r="A17" s="5" t="s">
        <v>469</v>
      </c>
      <c r="B17" s="5" t="s">
        <v>242</v>
      </c>
      <c r="C17" s="6" t="s">
        <v>470</v>
      </c>
      <c r="D17" s="5" t="s">
        <v>382</v>
      </c>
      <c r="E17" s="5" t="s">
        <v>403</v>
      </c>
      <c r="F17" s="6" t="s">
        <v>414</v>
      </c>
      <c r="G17" s="6" t="s">
        <v>471</v>
      </c>
      <c r="H17" s="6" t="s">
        <v>472</v>
      </c>
      <c r="I17" s="6" t="s">
        <v>473</v>
      </c>
      <c r="J17" s="5" t="s">
        <v>441</v>
      </c>
      <c r="K17" s="5" t="s">
        <v>389</v>
      </c>
    </row>
    <row r="18" spans="1:11" ht="30" customHeight="1">
      <c r="A18" s="5" t="s">
        <v>474</v>
      </c>
      <c r="B18" s="5" t="s">
        <v>242</v>
      </c>
      <c r="C18" s="6" t="s">
        <v>257</v>
      </c>
      <c r="D18" s="5" t="s">
        <v>460</v>
      </c>
      <c r="E18" s="5" t="s">
        <v>403</v>
      </c>
      <c r="F18" s="6" t="s">
        <v>414</v>
      </c>
      <c r="G18" s="6" t="s">
        <v>475</v>
      </c>
      <c r="H18" s="6" t="s">
        <v>476</v>
      </c>
      <c r="I18" s="6" t="s">
        <v>477</v>
      </c>
      <c r="J18" s="5" t="s">
        <v>441</v>
      </c>
      <c r="K18" s="5" t="s">
        <v>389</v>
      </c>
    </row>
    <row r="19" spans="1:11" ht="30" customHeight="1">
      <c r="A19" s="5" t="s">
        <v>478</v>
      </c>
      <c r="B19" s="5" t="s">
        <v>261</v>
      </c>
      <c r="C19" s="6" t="s">
        <v>479</v>
      </c>
      <c r="D19" s="5" t="s">
        <v>382</v>
      </c>
      <c r="E19" s="5" t="s">
        <v>383</v>
      </c>
      <c r="F19" s="6" t="s">
        <v>414</v>
      </c>
      <c r="G19" s="6" t="s">
        <v>480</v>
      </c>
      <c r="H19" s="6" t="s">
        <v>481</v>
      </c>
      <c r="I19" s="6" t="s">
        <v>482</v>
      </c>
      <c r="J19" s="5" t="s">
        <v>441</v>
      </c>
      <c r="K19" s="5" t="s">
        <v>389</v>
      </c>
    </row>
    <row r="20" spans="1:11" ht="30" customHeight="1">
      <c r="A20" s="5" t="s">
        <v>483</v>
      </c>
      <c r="B20" s="5" t="s">
        <v>261</v>
      </c>
      <c r="C20" s="6" t="s">
        <v>484</v>
      </c>
      <c r="D20" s="5" t="s">
        <v>382</v>
      </c>
      <c r="E20" s="5" t="s">
        <v>383</v>
      </c>
      <c r="F20" s="6" t="s">
        <v>414</v>
      </c>
      <c r="G20" s="6" t="s">
        <v>485</v>
      </c>
      <c r="H20" s="6" t="s">
        <v>481</v>
      </c>
      <c r="I20" s="6" t="s">
        <v>486</v>
      </c>
      <c r="J20" s="5" t="s">
        <v>388</v>
      </c>
      <c r="K20" s="5" t="s">
        <v>389</v>
      </c>
    </row>
    <row r="21" spans="1:11" ht="30" customHeight="1">
      <c r="A21" s="5" t="s">
        <v>487</v>
      </c>
      <c r="B21" s="5" t="s">
        <v>261</v>
      </c>
      <c r="C21" s="6" t="s">
        <v>488</v>
      </c>
      <c r="D21" s="5" t="s">
        <v>382</v>
      </c>
      <c r="E21" s="5" t="s">
        <v>403</v>
      </c>
      <c r="F21" s="6" t="s">
        <v>489</v>
      </c>
      <c r="G21" s="6" t="s">
        <v>490</v>
      </c>
      <c r="H21" s="6" t="s">
        <v>481</v>
      </c>
      <c r="I21" s="6" t="s">
        <v>491</v>
      </c>
      <c r="J21" s="5" t="s">
        <v>435</v>
      </c>
      <c r="K21" s="5" t="s">
        <v>389</v>
      </c>
    </row>
    <row r="22" spans="1:11" ht="30" customHeight="1">
      <c r="A22" s="5" t="s">
        <v>492</v>
      </c>
      <c r="B22" s="5" t="s">
        <v>261</v>
      </c>
      <c r="C22" s="6" t="s">
        <v>493</v>
      </c>
      <c r="D22" s="5" t="s">
        <v>382</v>
      </c>
      <c r="E22" s="5" t="s">
        <v>403</v>
      </c>
      <c r="F22" s="6" t="s">
        <v>414</v>
      </c>
      <c r="G22" s="6" t="s">
        <v>494</v>
      </c>
      <c r="H22" s="6" t="s">
        <v>495</v>
      </c>
      <c r="I22" s="6" t="s">
        <v>496</v>
      </c>
      <c r="J22" s="5" t="s">
        <v>441</v>
      </c>
      <c r="K22" s="5" t="s">
        <v>389</v>
      </c>
    </row>
    <row r="23" spans="1:11" ht="30" customHeight="1">
      <c r="A23" s="5" t="s">
        <v>497</v>
      </c>
      <c r="B23" s="5" t="s">
        <v>261</v>
      </c>
      <c r="C23" s="6" t="s">
        <v>498</v>
      </c>
      <c r="D23" s="5" t="s">
        <v>382</v>
      </c>
      <c r="E23" s="5" t="s">
        <v>403</v>
      </c>
      <c r="F23" s="6" t="s">
        <v>499</v>
      </c>
      <c r="G23" s="6" t="s">
        <v>500</v>
      </c>
      <c r="H23" s="6" t="s">
        <v>495</v>
      </c>
      <c r="I23" s="6" t="s">
        <v>501</v>
      </c>
      <c r="J23" s="5" t="s">
        <v>441</v>
      </c>
      <c r="K23" s="5" t="s">
        <v>389</v>
      </c>
    </row>
    <row r="24" spans="1:11" ht="30" customHeight="1">
      <c r="A24" s="5" t="s">
        <v>502</v>
      </c>
      <c r="B24" s="5" t="s">
        <v>261</v>
      </c>
      <c r="C24" s="6" t="s">
        <v>503</v>
      </c>
      <c r="D24" s="5" t="s">
        <v>382</v>
      </c>
      <c r="E24" s="5" t="s">
        <v>449</v>
      </c>
      <c r="F24" s="6" t="s">
        <v>504</v>
      </c>
      <c r="G24" s="6" t="s">
        <v>505</v>
      </c>
      <c r="H24" s="6" t="s">
        <v>481</v>
      </c>
      <c r="I24" s="6" t="s">
        <v>506</v>
      </c>
      <c r="J24" s="5" t="s">
        <v>441</v>
      </c>
      <c r="K24" s="5" t="s">
        <v>389</v>
      </c>
    </row>
    <row r="25" spans="1:11" ht="30" customHeight="1">
      <c r="A25" s="5" t="s">
        <v>507</v>
      </c>
      <c r="B25" s="5" t="s">
        <v>274</v>
      </c>
      <c r="C25" s="6" t="s">
        <v>508</v>
      </c>
      <c r="D25" s="5" t="s">
        <v>382</v>
      </c>
      <c r="E25" s="5" t="s">
        <v>383</v>
      </c>
      <c r="F25" s="6" t="s">
        <v>414</v>
      </c>
      <c r="G25" s="6" t="s">
        <v>509</v>
      </c>
      <c r="H25" s="6" t="s">
        <v>510</v>
      </c>
      <c r="I25" s="6" t="s">
        <v>511</v>
      </c>
      <c r="J25" s="5" t="s">
        <v>441</v>
      </c>
      <c r="K25" s="5" t="s">
        <v>389</v>
      </c>
    </row>
    <row r="26" spans="1:11" ht="30" customHeight="1">
      <c r="A26" s="5" t="s">
        <v>512</v>
      </c>
      <c r="B26" s="5" t="s">
        <v>274</v>
      </c>
      <c r="C26" s="6" t="s">
        <v>513</v>
      </c>
      <c r="D26" s="5" t="s">
        <v>382</v>
      </c>
      <c r="E26" s="5" t="s">
        <v>403</v>
      </c>
      <c r="F26" s="6" t="s">
        <v>414</v>
      </c>
      <c r="G26" s="6" t="s">
        <v>514</v>
      </c>
      <c r="H26" s="6" t="s">
        <v>510</v>
      </c>
      <c r="I26" s="6" t="s">
        <v>515</v>
      </c>
      <c r="J26" s="5" t="s">
        <v>441</v>
      </c>
      <c r="K26" s="5" t="s">
        <v>389</v>
      </c>
    </row>
    <row r="27" spans="1:11" ht="30" customHeight="1">
      <c r="A27" s="5" t="s">
        <v>516</v>
      </c>
      <c r="B27" s="5" t="s">
        <v>274</v>
      </c>
      <c r="C27" s="6" t="s">
        <v>517</v>
      </c>
      <c r="D27" s="5" t="s">
        <v>425</v>
      </c>
      <c r="E27" s="5" t="s">
        <v>383</v>
      </c>
      <c r="F27" s="6" t="s">
        <v>518</v>
      </c>
      <c r="G27" s="6" t="s">
        <v>519</v>
      </c>
      <c r="H27" s="6" t="s">
        <v>510</v>
      </c>
      <c r="I27" s="6" t="s">
        <v>520</v>
      </c>
      <c r="J27" s="5" t="s">
        <v>441</v>
      </c>
      <c r="K27" s="5" t="s">
        <v>389</v>
      </c>
    </row>
    <row r="28" spans="1:11" ht="30" customHeight="1">
      <c r="A28" s="5" t="s">
        <v>521</v>
      </c>
      <c r="B28" s="5" t="s">
        <v>281</v>
      </c>
      <c r="C28" s="6" t="s">
        <v>522</v>
      </c>
      <c r="D28" s="5" t="s">
        <v>425</v>
      </c>
      <c r="E28" s="5" t="s">
        <v>383</v>
      </c>
      <c r="F28" s="6" t="s">
        <v>414</v>
      </c>
      <c r="G28" s="6" t="s">
        <v>523</v>
      </c>
      <c r="H28" s="6" t="s">
        <v>524</v>
      </c>
      <c r="I28" s="6" t="s">
        <v>525</v>
      </c>
      <c r="J28" s="5" t="s">
        <v>435</v>
      </c>
      <c r="K28" s="5" t="s">
        <v>389</v>
      </c>
    </row>
    <row r="29" spans="1:11" ht="30" customHeight="1">
      <c r="A29" s="5" t="s">
        <v>526</v>
      </c>
      <c r="B29" s="5" t="s">
        <v>281</v>
      </c>
      <c r="C29" s="6" t="s">
        <v>527</v>
      </c>
      <c r="D29" s="5" t="s">
        <v>382</v>
      </c>
      <c r="E29" s="5" t="s">
        <v>383</v>
      </c>
      <c r="F29" s="6" t="s">
        <v>414</v>
      </c>
      <c r="G29" s="6" t="s">
        <v>528</v>
      </c>
      <c r="H29" s="6" t="s">
        <v>529</v>
      </c>
      <c r="I29" s="6" t="s">
        <v>530</v>
      </c>
      <c r="J29" s="5" t="s">
        <v>435</v>
      </c>
      <c r="K29" s="5" t="s">
        <v>389</v>
      </c>
    </row>
    <row r="30" spans="1:11" ht="30" customHeight="1">
      <c r="A30" s="5" t="s">
        <v>531</v>
      </c>
      <c r="B30" s="5" t="s">
        <v>281</v>
      </c>
      <c r="C30" s="6" t="s">
        <v>532</v>
      </c>
      <c r="D30" s="5" t="s">
        <v>382</v>
      </c>
      <c r="E30" s="5" t="s">
        <v>403</v>
      </c>
      <c r="F30" s="6" t="s">
        <v>414</v>
      </c>
      <c r="G30" s="6" t="s">
        <v>533</v>
      </c>
      <c r="H30" s="6" t="s">
        <v>534</v>
      </c>
      <c r="I30" s="6" t="s">
        <v>535</v>
      </c>
      <c r="J30" s="5" t="s">
        <v>441</v>
      </c>
      <c r="K30" s="5" t="s">
        <v>389</v>
      </c>
    </row>
    <row r="31" spans="1:11" ht="30" customHeight="1">
      <c r="A31" s="5" t="s">
        <v>536</v>
      </c>
      <c r="B31" s="5" t="s">
        <v>281</v>
      </c>
      <c r="C31" s="6" t="s">
        <v>537</v>
      </c>
      <c r="D31" s="5" t="s">
        <v>382</v>
      </c>
      <c r="E31" s="5" t="s">
        <v>403</v>
      </c>
      <c r="F31" s="6" t="s">
        <v>414</v>
      </c>
      <c r="G31" s="6" t="s">
        <v>538</v>
      </c>
      <c r="H31" s="6" t="s">
        <v>539</v>
      </c>
      <c r="I31" s="6" t="s">
        <v>540</v>
      </c>
      <c r="J31" s="5" t="s">
        <v>441</v>
      </c>
      <c r="K31" s="5" t="s">
        <v>389</v>
      </c>
    </row>
    <row r="32" spans="1:11" ht="30" customHeight="1">
      <c r="A32" s="5" t="s">
        <v>541</v>
      </c>
      <c r="B32" s="5" t="s">
        <v>281</v>
      </c>
      <c r="C32" s="6" t="s">
        <v>542</v>
      </c>
      <c r="D32" s="5" t="s">
        <v>382</v>
      </c>
      <c r="E32" s="5" t="s">
        <v>403</v>
      </c>
      <c r="F32" s="6" t="s">
        <v>414</v>
      </c>
      <c r="G32" s="6" t="s">
        <v>543</v>
      </c>
      <c r="H32" s="6" t="s">
        <v>544</v>
      </c>
      <c r="I32" s="6" t="s">
        <v>545</v>
      </c>
      <c r="J32" s="5" t="s">
        <v>441</v>
      </c>
      <c r="K32" s="5" t="s">
        <v>389</v>
      </c>
    </row>
    <row r="33" spans="1:11" ht="30" customHeight="1">
      <c r="A33" s="5" t="s">
        <v>546</v>
      </c>
      <c r="B33" s="5" t="s">
        <v>305</v>
      </c>
      <c r="C33" s="6" t="s">
        <v>547</v>
      </c>
      <c r="D33" s="5" t="s">
        <v>382</v>
      </c>
      <c r="E33" s="5" t="s">
        <v>383</v>
      </c>
      <c r="F33" s="6" t="s">
        <v>414</v>
      </c>
      <c r="G33" s="6" t="s">
        <v>548</v>
      </c>
      <c r="H33" s="6" t="s">
        <v>549</v>
      </c>
      <c r="I33" s="6" t="s">
        <v>550</v>
      </c>
      <c r="J33" s="5" t="s">
        <v>435</v>
      </c>
      <c r="K33" s="5" t="s">
        <v>389</v>
      </c>
    </row>
    <row r="34" spans="1:11" ht="30" customHeight="1">
      <c r="A34" s="5" t="s">
        <v>551</v>
      </c>
      <c r="B34" s="5" t="s">
        <v>305</v>
      </c>
      <c r="C34" s="6" t="s">
        <v>552</v>
      </c>
      <c r="D34" s="5" t="s">
        <v>382</v>
      </c>
      <c r="E34" s="5" t="s">
        <v>403</v>
      </c>
      <c r="F34" s="6" t="s">
        <v>414</v>
      </c>
      <c r="G34" s="6" t="s">
        <v>553</v>
      </c>
      <c r="H34" s="6" t="s">
        <v>554</v>
      </c>
      <c r="I34" s="6" t="s">
        <v>555</v>
      </c>
      <c r="J34" s="5" t="s">
        <v>441</v>
      </c>
      <c r="K34" s="5" t="s">
        <v>389</v>
      </c>
    </row>
    <row r="35" spans="1:11" ht="30" customHeight="1">
      <c r="A35" s="5" t="s">
        <v>556</v>
      </c>
      <c r="B35" s="5" t="s">
        <v>305</v>
      </c>
      <c r="C35" s="6" t="s">
        <v>557</v>
      </c>
      <c r="D35" s="5" t="s">
        <v>460</v>
      </c>
      <c r="E35" s="5" t="s">
        <v>403</v>
      </c>
      <c r="F35" s="6" t="s">
        <v>414</v>
      </c>
      <c r="G35" s="6" t="s">
        <v>558</v>
      </c>
      <c r="H35" s="6" t="s">
        <v>559</v>
      </c>
      <c r="I35" s="6" t="s">
        <v>560</v>
      </c>
      <c r="J35" s="5" t="s">
        <v>441</v>
      </c>
      <c r="K35" s="5" t="s">
        <v>389</v>
      </c>
    </row>
    <row r="36" spans="1:11" ht="30" customHeight="1">
      <c r="A36" s="5" t="s">
        <v>561</v>
      </c>
      <c r="B36" s="5" t="s">
        <v>305</v>
      </c>
      <c r="C36" s="6" t="s">
        <v>562</v>
      </c>
      <c r="D36" s="5" t="s">
        <v>382</v>
      </c>
      <c r="E36" s="5" t="s">
        <v>383</v>
      </c>
      <c r="F36" s="6" t="s">
        <v>414</v>
      </c>
      <c r="G36" s="6" t="s">
        <v>563</v>
      </c>
      <c r="H36" s="6" t="s">
        <v>564</v>
      </c>
      <c r="I36" s="6" t="s">
        <v>565</v>
      </c>
      <c r="J36" s="5" t="s">
        <v>388</v>
      </c>
      <c r="K36" s="5" t="s">
        <v>389</v>
      </c>
    </row>
    <row r="37" spans="1:11" ht="30" customHeight="1">
      <c r="A37" s="5" t="s">
        <v>566</v>
      </c>
      <c r="B37" s="5" t="s">
        <v>305</v>
      </c>
      <c r="C37" s="6" t="s">
        <v>567</v>
      </c>
      <c r="D37" s="5" t="s">
        <v>392</v>
      </c>
      <c r="E37" s="5" t="s">
        <v>403</v>
      </c>
      <c r="F37" s="6" t="s">
        <v>414</v>
      </c>
      <c r="G37" s="6" t="s">
        <v>568</v>
      </c>
      <c r="H37" s="6" t="s">
        <v>569</v>
      </c>
      <c r="I37" s="6" t="s">
        <v>570</v>
      </c>
      <c r="J37" s="5" t="s">
        <v>388</v>
      </c>
      <c r="K37" s="5" t="s">
        <v>389</v>
      </c>
    </row>
    <row r="38" spans="1:11" ht="30" customHeight="1">
      <c r="A38" s="5" t="s">
        <v>571</v>
      </c>
      <c r="B38" s="5" t="s">
        <v>305</v>
      </c>
      <c r="C38" s="6" t="s">
        <v>572</v>
      </c>
      <c r="D38" s="5" t="s">
        <v>425</v>
      </c>
      <c r="E38" s="5" t="s">
        <v>383</v>
      </c>
      <c r="F38" s="6" t="s">
        <v>573</v>
      </c>
      <c r="G38" s="6" t="s">
        <v>574</v>
      </c>
      <c r="H38" s="6" t="s">
        <v>575</v>
      </c>
      <c r="I38" s="6" t="s">
        <v>576</v>
      </c>
      <c r="J38" s="5" t="s">
        <v>388</v>
      </c>
      <c r="K38" s="5" t="s">
        <v>389</v>
      </c>
    </row>
    <row r="39" spans="1:11" ht="30" customHeight="1">
      <c r="A39" s="5" t="s">
        <v>577</v>
      </c>
      <c r="B39" s="5" t="s">
        <v>305</v>
      </c>
      <c r="C39" s="6" t="s">
        <v>578</v>
      </c>
      <c r="D39" s="5" t="s">
        <v>425</v>
      </c>
      <c r="E39" s="5" t="s">
        <v>403</v>
      </c>
      <c r="F39" s="6" t="s">
        <v>579</v>
      </c>
      <c r="G39" s="6" t="s">
        <v>580</v>
      </c>
      <c r="H39" s="6" t="s">
        <v>575</v>
      </c>
      <c r="I39" s="6" t="s">
        <v>581</v>
      </c>
      <c r="J39" s="5" t="s">
        <v>388</v>
      </c>
      <c r="K39" s="5" t="s">
        <v>389</v>
      </c>
    </row>
    <row r="40" spans="1:11" ht="30" customHeight="1">
      <c r="A40" s="5" t="s">
        <v>582</v>
      </c>
      <c r="B40" s="5" t="s">
        <v>334</v>
      </c>
      <c r="C40" s="6" t="s">
        <v>583</v>
      </c>
      <c r="D40" s="5" t="s">
        <v>382</v>
      </c>
      <c r="E40" s="5" t="s">
        <v>383</v>
      </c>
      <c r="F40" s="6" t="s">
        <v>414</v>
      </c>
      <c r="G40" s="6" t="s">
        <v>584</v>
      </c>
      <c r="H40" s="6" t="s">
        <v>585</v>
      </c>
      <c r="I40" s="6" t="s">
        <v>586</v>
      </c>
      <c r="J40" s="5" t="s">
        <v>435</v>
      </c>
      <c r="K40" s="5" t="s">
        <v>389</v>
      </c>
    </row>
    <row r="41" spans="1:11" ht="30" customHeight="1">
      <c r="A41" s="5" t="s">
        <v>587</v>
      </c>
      <c r="B41" s="5" t="s">
        <v>334</v>
      </c>
      <c r="C41" s="6" t="s">
        <v>588</v>
      </c>
      <c r="D41" s="5" t="s">
        <v>460</v>
      </c>
      <c r="E41" s="5" t="s">
        <v>383</v>
      </c>
      <c r="F41" s="6" t="s">
        <v>414</v>
      </c>
      <c r="G41" s="6" t="s">
        <v>589</v>
      </c>
      <c r="H41" s="6" t="s">
        <v>585</v>
      </c>
      <c r="I41" s="6" t="s">
        <v>590</v>
      </c>
      <c r="J41" s="5" t="s">
        <v>388</v>
      </c>
      <c r="K41" s="5" t="s">
        <v>389</v>
      </c>
    </row>
    <row r="42" spans="1:11" ht="30" customHeight="1">
      <c r="A42" s="5" t="s">
        <v>591</v>
      </c>
      <c r="B42" s="5" t="s">
        <v>334</v>
      </c>
      <c r="C42" s="6" t="s">
        <v>592</v>
      </c>
      <c r="D42" s="5" t="s">
        <v>382</v>
      </c>
      <c r="E42" s="5" t="s">
        <v>403</v>
      </c>
      <c r="F42" s="6" t="s">
        <v>414</v>
      </c>
      <c r="G42" s="6" t="s">
        <v>593</v>
      </c>
      <c r="H42" s="6" t="s">
        <v>594</v>
      </c>
      <c r="I42" s="6" t="s">
        <v>595</v>
      </c>
      <c r="J42" s="5" t="s">
        <v>435</v>
      </c>
      <c r="K42" s="5" t="s">
        <v>389</v>
      </c>
    </row>
    <row r="43" spans="1:11" ht="30" customHeight="1">
      <c r="A43" s="5" t="s">
        <v>596</v>
      </c>
      <c r="B43" s="5" t="s">
        <v>344</v>
      </c>
      <c r="C43" s="6" t="s">
        <v>597</v>
      </c>
      <c r="D43" s="5" t="s">
        <v>382</v>
      </c>
      <c r="E43" s="5" t="s">
        <v>403</v>
      </c>
      <c r="F43" s="6" t="s">
        <v>414</v>
      </c>
      <c r="G43" s="6" t="s">
        <v>598</v>
      </c>
      <c r="H43" s="6" t="s">
        <v>599</v>
      </c>
      <c r="I43" s="6" t="s">
        <v>600</v>
      </c>
      <c r="J43" s="5" t="s">
        <v>435</v>
      </c>
      <c r="K43" s="5" t="s">
        <v>389</v>
      </c>
    </row>
    <row r="44" spans="1:11" ht="30" customHeight="1">
      <c r="A44" s="5" t="s">
        <v>601</v>
      </c>
      <c r="B44" s="5" t="s">
        <v>344</v>
      </c>
      <c r="C44" s="6" t="s">
        <v>602</v>
      </c>
      <c r="D44" s="5" t="s">
        <v>382</v>
      </c>
      <c r="E44" s="5" t="s">
        <v>403</v>
      </c>
      <c r="F44" s="6" t="s">
        <v>414</v>
      </c>
      <c r="G44" s="6" t="s">
        <v>603</v>
      </c>
      <c r="H44" s="6" t="s">
        <v>604</v>
      </c>
      <c r="I44" s="6" t="s">
        <v>605</v>
      </c>
      <c r="J44" s="5" t="s">
        <v>435</v>
      </c>
      <c r="K44" s="5" t="s">
        <v>389</v>
      </c>
    </row>
    <row r="45" spans="1:11" ht="30" customHeight="1">
      <c r="A45" s="5" t="s">
        <v>606</v>
      </c>
      <c r="B45" s="5" t="s">
        <v>344</v>
      </c>
      <c r="C45" s="6" t="s">
        <v>355</v>
      </c>
      <c r="D45" s="5" t="s">
        <v>382</v>
      </c>
      <c r="E45" s="5" t="s">
        <v>449</v>
      </c>
      <c r="F45" s="6" t="s">
        <v>414</v>
      </c>
      <c r="G45" s="6" t="s">
        <v>607</v>
      </c>
      <c r="H45" s="6" t="s">
        <v>608</v>
      </c>
      <c r="I45" s="6" t="s">
        <v>609</v>
      </c>
      <c r="J45" s="5" t="s">
        <v>435</v>
      </c>
      <c r="K45" s="5" t="s">
        <v>389</v>
      </c>
    </row>
    <row r="46" spans="1:11" ht="30" customHeight="1">
      <c r="A46" s="5" t="s">
        <v>610</v>
      </c>
      <c r="B46" s="5" t="s">
        <v>359</v>
      </c>
      <c r="C46" s="6" t="s">
        <v>611</v>
      </c>
      <c r="D46" s="5" t="s">
        <v>382</v>
      </c>
      <c r="E46" s="5" t="s">
        <v>403</v>
      </c>
      <c r="F46" s="6" t="s">
        <v>414</v>
      </c>
      <c r="G46" s="6" t="s">
        <v>612</v>
      </c>
      <c r="H46" s="6" t="s">
        <v>613</v>
      </c>
      <c r="I46" s="6" t="s">
        <v>614</v>
      </c>
      <c r="J46" s="5" t="s">
        <v>435</v>
      </c>
      <c r="K46" s="5" t="s">
        <v>389</v>
      </c>
    </row>
    <row r="47" spans="1:11" ht="30" customHeight="1">
      <c r="A47" s="5" t="s">
        <v>615</v>
      </c>
      <c r="B47" s="5" t="s">
        <v>359</v>
      </c>
      <c r="C47" s="6" t="s">
        <v>616</v>
      </c>
      <c r="D47" s="5" t="s">
        <v>382</v>
      </c>
      <c r="E47" s="5" t="s">
        <v>449</v>
      </c>
      <c r="F47" s="6" t="s">
        <v>414</v>
      </c>
      <c r="G47" s="6" t="s">
        <v>617</v>
      </c>
      <c r="H47" s="6" t="s">
        <v>618</v>
      </c>
      <c r="I47" s="6" t="s">
        <v>619</v>
      </c>
      <c r="J47" s="5" t="s">
        <v>388</v>
      </c>
      <c r="K47" s="5" t="s">
        <v>389</v>
      </c>
    </row>
    <row r="48" spans="1:11" ht="30" customHeight="1">
      <c r="A48" s="5" t="s">
        <v>620</v>
      </c>
      <c r="B48" s="5" t="s">
        <v>621</v>
      </c>
      <c r="C48" s="6" t="s">
        <v>622</v>
      </c>
      <c r="D48" s="5" t="s">
        <v>382</v>
      </c>
      <c r="E48" s="5" t="s">
        <v>449</v>
      </c>
      <c r="F48" s="6" t="s">
        <v>414</v>
      </c>
      <c r="G48" s="6" t="s">
        <v>623</v>
      </c>
      <c r="H48" s="6" t="s">
        <v>624</v>
      </c>
      <c r="I48" s="6" t="s">
        <v>625</v>
      </c>
      <c r="J48" s="5" t="s">
        <v>441</v>
      </c>
      <c r="K48" s="5" t="s">
        <v>389</v>
      </c>
    </row>
    <row r="49" spans="1:11" ht="30" customHeight="1">
      <c r="A49" s="5" t="s">
        <v>626</v>
      </c>
      <c r="B49" s="5" t="s">
        <v>621</v>
      </c>
      <c r="C49" s="6" t="s">
        <v>627</v>
      </c>
      <c r="D49" s="5" t="s">
        <v>628</v>
      </c>
      <c r="E49" s="5" t="s">
        <v>449</v>
      </c>
      <c r="F49" s="6" t="s">
        <v>414</v>
      </c>
      <c r="G49" s="6" t="s">
        <v>629</v>
      </c>
      <c r="H49" s="6" t="s">
        <v>630</v>
      </c>
      <c r="I49" s="6" t="s">
        <v>631</v>
      </c>
      <c r="J49" s="5" t="s">
        <v>441</v>
      </c>
      <c r="K49" s="5" t="s">
        <v>389</v>
      </c>
    </row>
  </sheetData>
  <autoFilter ref="A1:K49"/>
  <conditionalFormatting sqref="K2:K49">
    <cfRule type="expression" dxfId="0" priority="1">
      <formula>$K2="通过"</formula>
    </cfRule>
  </conditionalFormatting>
  <conditionalFormatting sqref="K2:K49">
    <cfRule type="expression" dxfId="1" priority="2">
      <formula>OR($K2="未通过",$K2="阻塞")</formula>
    </cfRule>
  </conditionalFormatting>
  <conditionalFormatting sqref="E2:E49">
    <cfRule type="expression" dxfId="1" priority="3">
      <formula>$E2="高"</formula>
    </cfRule>
  </conditionalFormatting>
  <dataValidations>
    <dataValidation type="list" operator="between" allowBlank="1" showDropDown="0" showInputMessage="0" showErrorMessage="0" sqref="D2:D49">
      <formula1>"功能,异常,权限,安全,业务,界面"</formula1>
    </dataValidation>
    <dataValidation type="list" operator="between" allowBlank="1" showDropDown="0" showInputMessage="0" showErrorMessage="0" sqref="E2:E49">
      <formula1>"高,中,低"</formula1>
    </dataValidation>
    <dataValidation type="list" operator="between" allowBlank="1" showDropDown="0" showInputMessage="0" showErrorMessage="0" sqref="K2:K49">
      <formula1>"通过,未通过,阻塞"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G27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6" customWidth="1"/>
    <col min="2" max="2" width="22" customWidth="1"/>
    <col min="3" max="3" width="18" customWidth="1"/>
    <col min="4" max="4" width="44" customWidth="1"/>
    <col min="5" max="5" width="30" customWidth="1"/>
    <col min="6" max="6" width="12" customWidth="1"/>
    <col min="7" max="7" width="34" customWidth="1"/>
  </cols>
  <sheetData>
    <row r="1" spans="1:7" ht="26" customHeight="1">
      <c r="A1" s="4" t="s">
        <v>202</v>
      </c>
      <c r="B1" s="4" t="s">
        <v>632</v>
      </c>
      <c r="C1" s="4" t="s">
        <v>633</v>
      </c>
      <c r="D1" s="4" t="s">
        <v>634</v>
      </c>
      <c r="E1" s="4" t="s">
        <v>635</v>
      </c>
      <c r="F1" s="4" t="s">
        <v>636</v>
      </c>
      <c r="G1" s="4" t="s">
        <v>637</v>
      </c>
    </row>
    <row r="2" spans="1:7">
      <c r="A2" s="5">
        <v>1</v>
      </c>
      <c r="B2" s="5" t="s">
        <v>348</v>
      </c>
      <c r="C2" s="6" t="s">
        <v>638</v>
      </c>
      <c r="D2" s="6" t="s">
        <v>599</v>
      </c>
      <c r="E2" s="6" t="s">
        <v>344</v>
      </c>
      <c r="F2" s="5" t="s">
        <v>639</v>
      </c>
      <c r="G2" s="6" t="s"/>
    </row>
    <row r="3" spans="1:7">
      <c r="A3" s="5">
        <v>2</v>
      </c>
      <c r="B3" s="5" t="s">
        <v>353</v>
      </c>
      <c r="C3" s="6" t="s">
        <v>640</v>
      </c>
      <c r="D3" s="6" t="s">
        <v>604</v>
      </c>
      <c r="E3" s="6" t="s">
        <v>641</v>
      </c>
      <c r="F3" s="5" t="s">
        <v>639</v>
      </c>
      <c r="G3" s="6" t="s"/>
    </row>
    <row r="4" spans="1:7">
      <c r="A4" s="5">
        <v>3</v>
      </c>
      <c r="B4" s="5" t="s">
        <v>358</v>
      </c>
      <c r="C4" s="6" t="s">
        <v>642</v>
      </c>
      <c r="D4" s="6" t="s">
        <v>643</v>
      </c>
      <c r="E4" s="6" t="s">
        <v>644</v>
      </c>
      <c r="F4" s="5" t="s">
        <v>639</v>
      </c>
      <c r="G4" s="6" t="s">
        <v>645</v>
      </c>
    </row>
    <row r="5" spans="1:7">
      <c r="A5" s="5">
        <v>4</v>
      </c>
      <c r="B5" s="5" t="s">
        <v>646</v>
      </c>
      <c r="C5" s="6" t="s">
        <v>647</v>
      </c>
      <c r="D5" s="6" t="s">
        <v>456</v>
      </c>
      <c r="E5" s="6" t="s">
        <v>648</v>
      </c>
      <c r="F5" s="5" t="s">
        <v>639</v>
      </c>
      <c r="G5" s="6" t="s">
        <v>649</v>
      </c>
    </row>
    <row r="6" spans="1:7">
      <c r="A6" s="5">
        <v>5</v>
      </c>
      <c r="B6" s="5" t="s">
        <v>650</v>
      </c>
      <c r="C6" s="6" t="s">
        <v>651</v>
      </c>
      <c r="D6" s="6" t="s">
        <v>652</v>
      </c>
      <c r="E6" s="6" t="s">
        <v>653</v>
      </c>
      <c r="F6" s="5" t="s">
        <v>639</v>
      </c>
      <c r="G6" s="6" t="s">
        <v>654</v>
      </c>
    </row>
    <row r="7" spans="1:7">
      <c r="A7" s="5">
        <v>6</v>
      </c>
      <c r="B7" s="5" t="s">
        <v>655</v>
      </c>
      <c r="C7" s="6" t="s">
        <v>656</v>
      </c>
      <c r="D7" s="6" t="s">
        <v>657</v>
      </c>
      <c r="E7" s="6" t="s">
        <v>648</v>
      </c>
      <c r="F7" s="5" t="s">
        <v>639</v>
      </c>
      <c r="G7" s="6" t="s">
        <v>658</v>
      </c>
    </row>
    <row r="8" spans="1:7">
      <c r="A8" s="5">
        <v>7</v>
      </c>
      <c r="B8" s="5" t="s">
        <v>659</v>
      </c>
      <c r="C8" s="6" t="s">
        <v>660</v>
      </c>
      <c r="D8" s="6" t="s">
        <v>585</v>
      </c>
      <c r="E8" s="6" t="s">
        <v>334</v>
      </c>
      <c r="F8" s="5" t="s">
        <v>639</v>
      </c>
      <c r="G8" s="6" t="s">
        <v>661</v>
      </c>
    </row>
    <row r="9" spans="1:7">
      <c r="A9" s="5">
        <v>8</v>
      </c>
      <c r="B9" s="5" t="s">
        <v>260</v>
      </c>
      <c r="C9" s="6" t="s">
        <v>662</v>
      </c>
      <c r="D9" s="6" t="s">
        <v>476</v>
      </c>
      <c r="E9" s="6" t="s">
        <v>242</v>
      </c>
      <c r="F9" s="5" t="s">
        <v>639</v>
      </c>
      <c r="G9" s="6" t="s">
        <v>663</v>
      </c>
    </row>
    <row r="10" spans="1:7">
      <c r="A10" s="5">
        <v>9</v>
      </c>
      <c r="B10" s="5" t="s">
        <v>256</v>
      </c>
      <c r="C10" s="6" t="s">
        <v>664</v>
      </c>
      <c r="D10" s="6" t="s">
        <v>467</v>
      </c>
      <c r="E10" s="6" t="s">
        <v>242</v>
      </c>
      <c r="F10" s="5" t="s">
        <v>639</v>
      </c>
      <c r="G10" s="6" t="s">
        <v>665</v>
      </c>
    </row>
    <row r="11" spans="1:7">
      <c r="A11" s="5">
        <v>10</v>
      </c>
      <c r="B11" s="5" t="s">
        <v>666</v>
      </c>
      <c r="C11" s="6" t="s">
        <v>667</v>
      </c>
      <c r="D11" s="6" t="s">
        <v>472</v>
      </c>
      <c r="E11" s="6" t="s">
        <v>242</v>
      </c>
      <c r="F11" s="5" t="s">
        <v>639</v>
      </c>
      <c r="G11" s="6" t="s">
        <v>668</v>
      </c>
    </row>
    <row r="12" spans="1:7">
      <c r="A12" s="5">
        <v>11</v>
      </c>
      <c r="B12" s="5" t="s">
        <v>669</v>
      </c>
      <c r="C12" s="6" t="s">
        <v>670</v>
      </c>
      <c r="D12" s="6" t="s">
        <v>481</v>
      </c>
      <c r="E12" s="6" t="s">
        <v>671</v>
      </c>
      <c r="F12" s="5" t="s">
        <v>639</v>
      </c>
      <c r="G12" s="6" t="s">
        <v>672</v>
      </c>
    </row>
    <row r="13" spans="1:7">
      <c r="A13" s="5">
        <v>12</v>
      </c>
      <c r="B13" s="5" t="s">
        <v>673</v>
      </c>
      <c r="C13" s="6" t="s">
        <v>674</v>
      </c>
      <c r="D13" s="6" t="s">
        <v>481</v>
      </c>
      <c r="E13" s="6" t="s">
        <v>675</v>
      </c>
      <c r="F13" s="5" t="s">
        <v>639</v>
      </c>
      <c r="G13" s="6" t="s">
        <v>676</v>
      </c>
    </row>
    <row r="14" spans="1:7">
      <c r="A14" s="5">
        <v>13</v>
      </c>
      <c r="B14" s="5" t="s">
        <v>677</v>
      </c>
      <c r="C14" s="6" t="s">
        <v>678</v>
      </c>
      <c r="D14" s="6" t="s">
        <v>495</v>
      </c>
      <c r="E14" s="6" t="s">
        <v>679</v>
      </c>
      <c r="F14" s="5" t="s">
        <v>639</v>
      </c>
      <c r="G14" s="6" t="s">
        <v>680</v>
      </c>
    </row>
    <row r="15" spans="1:7">
      <c r="A15" s="5">
        <v>14</v>
      </c>
      <c r="B15" s="5" t="s">
        <v>279</v>
      </c>
      <c r="C15" s="6" t="s">
        <v>681</v>
      </c>
      <c r="D15" s="6" t="s">
        <v>682</v>
      </c>
      <c r="E15" s="6" t="s">
        <v>683</v>
      </c>
      <c r="F15" s="5" t="s">
        <v>639</v>
      </c>
      <c r="G15" s="6" t="s">
        <v>684</v>
      </c>
    </row>
    <row r="16" spans="1:7">
      <c r="A16" s="5">
        <v>15</v>
      </c>
      <c r="B16" s="5" t="s">
        <v>685</v>
      </c>
      <c r="C16" s="6" t="s">
        <v>686</v>
      </c>
      <c r="D16" s="6" t="s">
        <v>529</v>
      </c>
      <c r="E16" s="6" t="s">
        <v>281</v>
      </c>
      <c r="F16" s="5" t="s">
        <v>639</v>
      </c>
      <c r="G16" s="6" t="s">
        <v>687</v>
      </c>
    </row>
    <row r="17" spans="1:7">
      <c r="A17" s="5">
        <v>16</v>
      </c>
      <c r="B17" s="5" t="s">
        <v>291</v>
      </c>
      <c r="C17" s="6" t="s">
        <v>688</v>
      </c>
      <c r="D17" s="6" t="s">
        <v>689</v>
      </c>
      <c r="E17" s="6" t="s">
        <v>690</v>
      </c>
      <c r="F17" s="5" t="s">
        <v>639</v>
      </c>
      <c r="G17" s="6" t="s">
        <v>691</v>
      </c>
    </row>
    <row r="18" spans="1:7">
      <c r="A18" s="5">
        <v>17</v>
      </c>
      <c r="B18" s="5" t="s">
        <v>304</v>
      </c>
      <c r="C18" s="6" t="s">
        <v>692</v>
      </c>
      <c r="D18" s="6" t="s">
        <v>693</v>
      </c>
      <c r="E18" s="6" t="s">
        <v>690</v>
      </c>
      <c r="F18" s="5" t="s">
        <v>639</v>
      </c>
      <c r="G18" s="6" t="s">
        <v>694</v>
      </c>
    </row>
    <row r="19" spans="1:7">
      <c r="A19" s="5">
        <v>18</v>
      </c>
      <c r="B19" s="5" t="s">
        <v>295</v>
      </c>
      <c r="C19" s="6" t="s">
        <v>695</v>
      </c>
      <c r="D19" s="6" t="s">
        <v>539</v>
      </c>
      <c r="E19" s="6" t="s">
        <v>281</v>
      </c>
      <c r="F19" s="5" t="s">
        <v>639</v>
      </c>
      <c r="G19" s="6" t="s"/>
    </row>
    <row r="20" spans="1:7">
      <c r="A20" s="5">
        <v>19</v>
      </c>
      <c r="B20" s="5" t="s">
        <v>320</v>
      </c>
      <c r="C20" s="6" t="s">
        <v>696</v>
      </c>
      <c r="D20" s="6" t="s">
        <v>697</v>
      </c>
      <c r="E20" s="6" t="s">
        <v>698</v>
      </c>
      <c r="F20" s="5" t="s">
        <v>639</v>
      </c>
      <c r="G20" s="6" t="s">
        <v>699</v>
      </c>
    </row>
    <row r="21" spans="1:7">
      <c r="A21" s="5">
        <v>20</v>
      </c>
      <c r="B21" s="5" t="s">
        <v>309</v>
      </c>
      <c r="C21" s="6" t="s">
        <v>700</v>
      </c>
      <c r="D21" s="6" t="s">
        <v>701</v>
      </c>
      <c r="E21" s="6" t="s">
        <v>305</v>
      </c>
      <c r="F21" s="5" t="s">
        <v>639</v>
      </c>
      <c r="G21" s="6" t="s">
        <v>702</v>
      </c>
    </row>
    <row r="22" spans="1:7">
      <c r="A22" s="5">
        <v>21</v>
      </c>
      <c r="B22" s="5" t="s">
        <v>333</v>
      </c>
      <c r="C22" s="6" t="s">
        <v>703</v>
      </c>
      <c r="D22" s="6" t="s">
        <v>704</v>
      </c>
      <c r="E22" s="6" t="s">
        <v>305</v>
      </c>
      <c r="F22" s="5" t="s">
        <v>639</v>
      </c>
      <c r="G22" s="6" t="s">
        <v>705</v>
      </c>
    </row>
    <row r="23" spans="1:7">
      <c r="A23" s="5">
        <v>22</v>
      </c>
      <c r="B23" s="5" t="s">
        <v>706</v>
      </c>
      <c r="C23" s="6" t="s">
        <v>707</v>
      </c>
      <c r="D23" s="6" t="s">
        <v>708</v>
      </c>
      <c r="E23" s="6" t="s">
        <v>305</v>
      </c>
      <c r="F23" s="5" t="s">
        <v>639</v>
      </c>
      <c r="G23" s="6" t="s">
        <v>709</v>
      </c>
    </row>
    <row r="24" spans="1:7">
      <c r="A24" s="5">
        <v>23</v>
      </c>
      <c r="B24" s="5" t="s">
        <v>710</v>
      </c>
      <c r="C24" s="6" t="s">
        <v>711</v>
      </c>
      <c r="D24" s="6" t="s">
        <v>712</v>
      </c>
      <c r="E24" s="6" t="s">
        <v>334</v>
      </c>
      <c r="F24" s="5" t="s">
        <v>639</v>
      </c>
      <c r="G24" s="6" t="s">
        <v>713</v>
      </c>
    </row>
    <row r="25" spans="1:7">
      <c r="A25" s="5">
        <v>24</v>
      </c>
      <c r="B25" s="5" t="s">
        <v>364</v>
      </c>
      <c r="C25" s="6" t="s">
        <v>714</v>
      </c>
      <c r="D25" s="6" t="s">
        <v>715</v>
      </c>
      <c r="E25" s="6" t="s">
        <v>359</v>
      </c>
      <c r="F25" s="5" t="s">
        <v>639</v>
      </c>
      <c r="G25" s="6" t="s">
        <v>716</v>
      </c>
    </row>
    <row r="26" spans="1:7">
      <c r="A26" s="5">
        <v>25</v>
      </c>
      <c r="B26" s="5" t="s">
        <v>240</v>
      </c>
      <c r="C26" s="6" t="s">
        <v>717</v>
      </c>
      <c r="D26" s="6" t="s">
        <v>445</v>
      </c>
      <c r="E26" s="6" t="s">
        <v>231</v>
      </c>
      <c r="F26" s="5" t="s">
        <v>639</v>
      </c>
      <c r="G26" s="6" t="s">
        <v>718</v>
      </c>
    </row>
    <row r="27" spans="1:7">
      <c r="A27" s="5">
        <v>26</v>
      </c>
      <c r="B27" s="5" t="s">
        <v>218</v>
      </c>
      <c r="C27" s="6" t="s">
        <v>719</v>
      </c>
      <c r="D27" s="6" t="s">
        <v>720</v>
      </c>
      <c r="E27" s="6" t="s">
        <v>721</v>
      </c>
      <c r="F27" s="5" t="s">
        <v>639</v>
      </c>
      <c r="G27" s="6" t="s">
        <v>722</v>
      </c>
    </row>
  </sheetData>
  <autoFilter ref="A1:G27"/>
  <conditionalFormatting sqref="F2:F27">
    <cfRule type="expression" dxfId="0" priority="1">
      <formula>$F2="已覆盖"</formula>
    </cfRule>
  </conditionalFormatting>
  <conditionalFormatting sqref="F2:F27">
    <cfRule type="expression" dxfId="1" priority="2">
      <formula>$F2="未覆盖"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6A23C"/>
    <outlinePr summaryBelow="1" summaryRight="1"/>
    <pageSetUpPr/>
  </sheetPr>
  <dimension ref="G10"/>
  <sheetViews>
    <sheetView showGridLines="1" workbookViewId="0"/>
  </sheetViews>
  <sheetFormatPr baseColWidth="8" defaultRowHeight="15"/>
  <cols>
    <col min="1" max="1" width="6" customWidth="1"/>
    <col min="2" max="2" width="32" customWidth="1"/>
    <col min="3" max="3" width="54" customWidth="1"/>
    <col min="4" max="4" width="10" customWidth="1"/>
    <col min="5" max="5" width="14" customWidth="1"/>
    <col min="6" max="6" width="14" customWidth="1"/>
    <col min="7" max="7" width="46" customWidth="1"/>
  </cols>
  <sheetData>
    <row r="1" spans="1:7" ht="26" customHeight="1">
      <c r="A1" s="4" t="s">
        <v>202</v>
      </c>
      <c r="B1" s="4" t="s">
        <v>723</v>
      </c>
      <c r="C1" s="4" t="s">
        <v>724</v>
      </c>
      <c r="D1" s="4" t="s">
        <v>725</v>
      </c>
      <c r="E1" s="4" t="s">
        <v>726</v>
      </c>
      <c r="F1" s="4" t="s">
        <v>727</v>
      </c>
      <c r="G1" s="4" t="s">
        <v>728</v>
      </c>
    </row>
    <row r="2" spans="1:7" ht="34" customHeight="1">
      <c r="A2" s="5">
        <v>1</v>
      </c>
      <c r="B2" s="6" t="s">
        <v>729</v>
      </c>
      <c r="C2" s="8" t="s">
        <v>730</v>
      </c>
      <c r="D2" s="5" t="s">
        <v>731</v>
      </c>
      <c r="E2" s="5" t="s">
        <v>732</v>
      </c>
      <c r="F2" s="5" t="s">
        <v>733</v>
      </c>
      <c r="G2" s="6" t="s">
        <v>734</v>
      </c>
    </row>
    <row r="3" spans="1:7" ht="34" customHeight="1">
      <c r="A3" s="5">
        <v>2</v>
      </c>
      <c r="B3" s="6" t="s">
        <v>735</v>
      </c>
      <c r="C3" s="8" t="s">
        <v>736</v>
      </c>
      <c r="D3" s="5" t="s">
        <v>737</v>
      </c>
      <c r="E3" s="5" t="s">
        <v>732</v>
      </c>
      <c r="F3" s="5" t="s">
        <v>733</v>
      </c>
      <c r="G3" s="6" t="s">
        <v>738</v>
      </c>
    </row>
    <row r="4" spans="1:7" ht="34" customHeight="1">
      <c r="A4" s="5">
        <v>3</v>
      </c>
      <c r="B4" s="6" t="s">
        <v>739</v>
      </c>
      <c r="C4" s="8" t="s">
        <v>740</v>
      </c>
      <c r="D4" s="5" t="s">
        <v>737</v>
      </c>
      <c r="E4" s="5" t="s">
        <v>741</v>
      </c>
      <c r="F4" s="5" t="s">
        <v>733</v>
      </c>
      <c r="G4" s="6" t="s">
        <v>742</v>
      </c>
    </row>
    <row r="5" spans="1:7" ht="34" customHeight="1">
      <c r="A5" s="5">
        <v>4</v>
      </c>
      <c r="B5" s="6" t="s">
        <v>743</v>
      </c>
      <c r="C5" s="8" t="s">
        <v>744</v>
      </c>
      <c r="D5" s="5" t="s">
        <v>745</v>
      </c>
      <c r="E5" s="5" t="s">
        <v>741</v>
      </c>
      <c r="F5" s="5" t="s">
        <v>733</v>
      </c>
      <c r="G5" s="6" t="s">
        <v>746</v>
      </c>
    </row>
    <row r="6" spans="1:7" ht="34" customHeight="1">
      <c r="A6" s="5">
        <v>5</v>
      </c>
      <c r="B6" s="6" t="s">
        <v>747</v>
      </c>
      <c r="C6" s="8" t="s">
        <v>748</v>
      </c>
      <c r="D6" s="5" t="s">
        <v>749</v>
      </c>
      <c r="E6" s="5" t="s">
        <v>741</v>
      </c>
      <c r="F6" s="5" t="s">
        <v>733</v>
      </c>
      <c r="G6" s="6" t="s">
        <v>746</v>
      </c>
    </row>
    <row r="7" spans="1:7" ht="34" customHeight="1">
      <c r="A7" s="5">
        <v>6</v>
      </c>
      <c r="B7" s="6" t="s">
        <v>750</v>
      </c>
      <c r="C7" s="8" t="s">
        <v>751</v>
      </c>
      <c r="D7" s="5" t="s">
        <v>752</v>
      </c>
      <c r="E7" s="5" t="s">
        <v>741</v>
      </c>
      <c r="F7" s="5" t="s">
        <v>733</v>
      </c>
      <c r="G7" s="6" t="s">
        <v>753</v>
      </c>
    </row>
    <row r="8" spans="1:7" ht="34" customHeight="1">
      <c r="A8" s="5">
        <v>7</v>
      </c>
      <c r="B8" s="6" t="s">
        <v>754</v>
      </c>
      <c r="C8" s="8" t="s">
        <v>755</v>
      </c>
      <c r="D8" s="5" t="s">
        <v>756</v>
      </c>
      <c r="E8" s="5" t="s">
        <v>741</v>
      </c>
      <c r="F8" s="5" t="s">
        <v>757</v>
      </c>
      <c r="G8" s="6" t="s">
        <v>758</v>
      </c>
    </row>
    <row r="9" spans="1:7" ht="34" customHeight="1">
      <c r="A9" s="5">
        <v>8</v>
      </c>
      <c r="B9" s="6" t="s">
        <v>759</v>
      </c>
      <c r="C9" s="8" t="s">
        <v>760</v>
      </c>
      <c r="D9" s="5" t="s">
        <v>761</v>
      </c>
      <c r="E9" s="5" t="s">
        <v>732</v>
      </c>
      <c r="F9" s="5" t="s">
        <v>733</v>
      </c>
      <c r="G9" s="6" t="s">
        <v>762</v>
      </c>
    </row>
    <row r="10" spans="1:7" ht="34" customHeight="1">
      <c r="A10" s="5">
        <v>9</v>
      </c>
      <c r="B10" s="6" t="s">
        <v>763</v>
      </c>
      <c r="C10" s="8" t="s">
        <v>764</v>
      </c>
      <c r="D10" s="5" t="s">
        <v>765</v>
      </c>
      <c r="E10" s="5" t="s">
        <v>732</v>
      </c>
      <c r="F10" s="5" t="s">
        <v>766</v>
      </c>
      <c r="G10" s="6" t="s">
        <v>767</v>
      </c>
    </row>
  </sheetData>
  <autoFilter ref="A1:G10"/>
  <conditionalFormatting sqref="F2:F10">
    <cfRule type="expression" dxfId="0" priority="1">
      <formula>$F2="合理"</formula>
    </cfRule>
  </conditionalFormatting>
  <conditionalFormatting sqref="F2:F10">
    <cfRule type="expression" dxfId="2" priority="2">
      <formula>OR($F2="建议优化",$F2="临时")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E26"/>
  <sheetViews>
    <sheetView showGridLines="1" workbookViewId="0"/>
  </sheetViews>
  <sheetFormatPr baseColWidth="8" defaultRowHeight="15"/>
  <cols>
    <col min="1" max="1" width="14" customWidth="1"/>
    <col min="2" max="2" width="24" customWidth="1"/>
    <col min="3" max="3" width="32" customWidth="1"/>
    <col min="4" max="4" width="38" customWidth="1"/>
    <col min="5" max="5" width="10" customWidth="1"/>
  </cols>
  <sheetData>
    <row r="1" spans="1:1" ht="30" customHeight="1">
      <c r="A1" s="9" t="s">
        <v>768</v>
      </c>
    </row>
    <row r="2" spans="1:1">
      <c r="A2" s="10" t="s">
        <v>769</v>
      </c>
    </row>
    <row r="4" spans="1:1">
      <c r="A4" s="11" t="s">
        <v>770</v>
      </c>
    </row>
    <row r="5" spans="1:5">
      <c r="A5" s="4" t="s"/>
      <c r="B5" s="4" t="s"/>
      <c r="C5" s="4" t="s"/>
      <c r="D5" s="4" t="s"/>
      <c r="E5" s="4" t="s"/>
    </row>
    <row r="6" spans="1:5">
      <c r="A6" s="12" t="s">
        <v>771</v>
      </c>
      <c r="B6" s="13">
        <f>=COUNTA(接口清单!E2:E32)</f>
        <v>31</v>
      </c>
      <c r="C6" s="6" t="s">
        <v>772</v>
      </c>
      <c r="D6" s="6" t="s">
        <v>773</v>
      </c>
      <c r="E6" s="5" t="s">
        <v>389</v>
      </c>
    </row>
    <row r="7" spans="1:5">
      <c r="A7" s="12" t="s">
        <v>774</v>
      </c>
      <c r="B7" s="13">
        <f>=COUNTA(前端测试用例!A2:A49)</f>
        <v>48</v>
      </c>
      <c r="C7" s="6" t="s">
        <v>775</v>
      </c>
      <c r="D7" s="6" t="s">
        <v>776</v>
      </c>
      <c r="E7" s="5" t="s">
        <v>389</v>
      </c>
    </row>
    <row r="8" spans="1:5">
      <c r="A8" s="12" t="s">
        <v>777</v>
      </c>
      <c r="B8" s="13">
        <f>=COUNTIF(前端测试用例!K2:K49,"通过")</f>
        <v>48</v>
      </c>
      <c r="C8" s="6" t="s">
        <v>775</v>
      </c>
      <c r="D8" s="6" t="s">
        <v>778</v>
      </c>
      <c r="E8" s="5" t="s">
        <v>389</v>
      </c>
    </row>
    <row r="9" spans="1:5">
      <c r="A9" s="12" t="s">
        <v>779</v>
      </c>
      <c r="B9" s="14">
        <f>=IF(OR(B7="",B7=0),"",B8/B7)</f>
        <v>1</v>
      </c>
      <c r="C9" s="6" t="s">
        <v>780</v>
      </c>
      <c r="D9" s="6" t="s">
        <v>781</v>
      </c>
      <c r="E9" s="5" t="s">
        <v>389</v>
      </c>
    </row>
    <row r="10" spans="1:5">
      <c r="A10" s="12" t="s">
        <v>782</v>
      </c>
      <c r="B10" s="13">
        <f>=COUNTA(数据表覆盖校验!B2:B27)</f>
        <v>26</v>
      </c>
      <c r="C10" s="6" t="s">
        <v>783</v>
      </c>
      <c r="D10" s="6" t="s">
        <v>784</v>
      </c>
      <c r="E10" s="5" t="s">
        <v>389</v>
      </c>
    </row>
    <row r="11" spans="1:5">
      <c r="A11" s="12" t="s">
        <v>785</v>
      </c>
      <c r="B11" s="14">
        <f>=IF(OR(B10="",B10=0),"",COUNTIF(数据表覆盖校验!F2:F27,"已覆盖")/B10)</f>
        <v>1</v>
      </c>
      <c r="C11" s="6" t="s">
        <v>780</v>
      </c>
      <c r="D11" s="6" t="s">
        <v>786</v>
      </c>
      <c r="E11" s="5" t="s">
        <v>389</v>
      </c>
    </row>
    <row r="12" spans="1:5">
      <c r="A12" s="12" t="s">
        <v>787</v>
      </c>
      <c r="B12" s="13">
        <v>0</v>
      </c>
      <c r="C12" s="6" t="s">
        <v>788</v>
      </c>
      <c r="D12" s="6" t="s">
        <v>789</v>
      </c>
      <c r="E12" s="5" t="s">
        <v>389</v>
      </c>
    </row>
    <row r="14" spans="1:1">
      <c r="A14" s="11" t="s">
        <v>790</v>
      </c>
    </row>
    <row r="15" spans="1:5">
      <c r="A15" s="4" t="s"/>
      <c r="B15" s="4" t="s"/>
      <c r="C15" s="4" t="s"/>
      <c r="D15" s="4" t="s"/>
      <c r="E15" s="4" t="s"/>
    </row>
    <row r="16" spans="1:5" ht="30" customHeight="1">
      <c r="A16" s="5">
        <v>1</v>
      </c>
      <c r="B16" s="6" t="s">
        <v>791</v>
      </c>
      <c r="C16" s="6" t="s">
        <v>792</v>
      </c>
      <c r="D16" s="6" t="s">
        <v>793</v>
      </c>
      <c r="E16" s="5" t="s">
        <v>389</v>
      </c>
    </row>
    <row r="17" spans="1:5" ht="30" customHeight="1">
      <c r="A17" s="5">
        <v>2</v>
      </c>
      <c r="B17" s="6" t="s">
        <v>794</v>
      </c>
      <c r="C17" s="6" t="s">
        <v>795</v>
      </c>
      <c r="D17" s="6" t="s">
        <v>796</v>
      </c>
      <c r="E17" s="5" t="s">
        <v>389</v>
      </c>
    </row>
    <row r="18" spans="1:5" ht="30" customHeight="1">
      <c r="A18" s="5">
        <v>3</v>
      </c>
      <c r="B18" s="6" t="s">
        <v>797</v>
      </c>
      <c r="C18" s="6" t="s">
        <v>798</v>
      </c>
      <c r="D18" s="6" t="s">
        <v>799</v>
      </c>
      <c r="E18" s="5" t="s">
        <v>389</v>
      </c>
    </row>
    <row r="19" spans="1:5" ht="30" customHeight="1">
      <c r="A19" s="5">
        <v>4</v>
      </c>
      <c r="B19" s="6" t="s">
        <v>800</v>
      </c>
      <c r="C19" s="6" t="s">
        <v>801</v>
      </c>
      <c r="D19" s="6" t="s">
        <v>802</v>
      </c>
      <c r="E19" s="5" t="s">
        <v>389</v>
      </c>
    </row>
    <row r="20" spans="1:5" ht="30" customHeight="1">
      <c r="A20" s="5">
        <v>5</v>
      </c>
      <c r="B20" s="6" t="s">
        <v>803</v>
      </c>
      <c r="C20" s="6" t="s">
        <v>804</v>
      </c>
      <c r="D20" s="6" t="s">
        <v>805</v>
      </c>
      <c r="E20" s="5" t="s">
        <v>389</v>
      </c>
    </row>
    <row r="21" spans="1:5" ht="30" customHeight="1">
      <c r="A21" s="5">
        <v>6</v>
      </c>
      <c r="B21" s="6" t="s">
        <v>806</v>
      </c>
      <c r="C21" s="6" t="s">
        <v>807</v>
      </c>
      <c r="D21" s="6" t="s">
        <v>808</v>
      </c>
      <c r="E21" s="5" t="s">
        <v>389</v>
      </c>
    </row>
    <row r="22" spans="1:5" ht="30" customHeight="1">
      <c r="A22" s="5">
        <v>7</v>
      </c>
      <c r="B22" s="6" t="s">
        <v>809</v>
      </c>
      <c r="C22" s="6" t="s">
        <v>810</v>
      </c>
      <c r="D22" s="6" t="s">
        <v>811</v>
      </c>
      <c r="E22" s="5" t="s">
        <v>389</v>
      </c>
    </row>
    <row r="23" spans="1:5" ht="30" customHeight="1">
      <c r="A23" s="5">
        <v>8</v>
      </c>
      <c r="B23" s="6" t="s">
        <v>812</v>
      </c>
      <c r="C23" s="6" t="s">
        <v>813</v>
      </c>
      <c r="D23" s="6" t="s">
        <v>814</v>
      </c>
      <c r="E23" s="5" t="s">
        <v>815</v>
      </c>
    </row>
    <row r="25" spans="1:1">
      <c r="A25" s="11" t="s">
        <v>816</v>
      </c>
    </row>
    <row r="26" spans="1:5" ht="60" customHeight="1">
      <c r="A26" s="15" t="s">
        <v>817</v>
      </c>
      <c r="B26" s="16" t="s"/>
      <c r="C26" s="16" t="s"/>
      <c r="D26" s="16" t="s"/>
      <c r="E26" s="16" t="s"/>
    </row>
  </sheetData>
  <mergeCells count="6">
    <mergeCell ref="A4:E4"/>
    <mergeCell ref="A26:E26"/>
    <mergeCell ref="A2:E2"/>
    <mergeCell ref="A25:E25"/>
    <mergeCell ref="A1:E1"/>
    <mergeCell ref="A14:E14"/>
  </mergeCells>
  <conditionalFormatting sqref="E6:E12">
    <cfRule type="expression" dxfId="0" priority="1">
      <formula>$E6="通过"</formula>
    </cfRule>
  </conditionalFormatting>
  <conditionalFormatting sqref="E6:E12">
    <cfRule type="expression" dxfId="2" priority="2">
      <formula>$E6="关注"</formula>
    </cfRule>
  </conditionalFormatting>
  <conditionalFormatting sqref="E16:E23">
    <cfRule type="expression" dxfId="0" priority="3">
      <formula>$E16="通过"</formula>
    </cfRule>
  </conditionalFormatting>
  <conditionalFormatting sqref="E16:E23">
    <cfRule type="expression" dxfId="2" priority="4">
      <formula>$E16="关注"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/>
  <dimension ref="I44"/>
  <sheetViews>
    <sheetView workbookViewId="0">
      <pane ySplit="1" topLeftCell="A2" state="frozen"/>
    </sheetView>
  </sheetViews>
  <cols>
    <col min="1" max="1" width="6.67188" customWidth="1"/>
    <col min="2" max="2" width="19.6719" customWidth="1"/>
    <col min="3" max="3" width="7.67188" customWidth="1"/>
    <col min="4" max="4" width="27.6719" customWidth="1"/>
    <col min="5" max="5" width="43.6719" customWidth="1"/>
    <col min="6" max="6" width="9.67188" customWidth="1"/>
    <col min="7" max="8" width="33.6719" customWidth="1"/>
    <col min="9" max="9" width="43.6719" customWidth="1"/>
  </cols>
  <sheetData>
    <row r="1" spans="1:9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</row>
    <row r="2" spans="1:9">
      <c r="A2" s="24">
        <v>1</v>
      </c>
      <c r="B2" s="24" t="s">
        <v>10</v>
      </c>
      <c r="C2" s="24">
        <v>200</v>
      </c>
      <c r="D2" s="25" t="s">
        <v>11</v>
      </c>
      <c r="E2" s="25" t="s">
        <v>12</v>
      </c>
      <c r="F2" s="24">
        <v>200</v>
      </c>
      <c r="G2" s="25" t="s">
        <v>13</v>
      </c>
      <c r="H2" s="25" t="s">
        <v>14</v>
      </c>
      <c r="I2" s="25" t="s">
        <v>15</v>
      </c>
    </row>
    <row r="3" spans="1:9">
      <c r="A3" s="24">
        <v>2</v>
      </c>
      <c r="B3" s="24" t="s">
        <v>10</v>
      </c>
      <c r="C3" s="24">
        <v>400</v>
      </c>
      <c r="D3" s="25" t="s">
        <v>16</v>
      </c>
      <c r="E3" s="25" t="s">
        <v>17</v>
      </c>
      <c r="F3" s="24">
        <v>200</v>
      </c>
      <c r="G3" s="25" t="s">
        <v>18</v>
      </c>
      <c r="H3" s="25" t="s">
        <v>19</v>
      </c>
      <c r="I3" s="25" t="s">
        <v>20</v>
      </c>
    </row>
    <row r="4" spans="1:9">
      <c r="A4" s="24">
        <v>3</v>
      </c>
      <c r="B4" s="24" t="s">
        <v>10</v>
      </c>
      <c r="C4" s="24">
        <v>401</v>
      </c>
      <c r="D4" s="25" t="s">
        <v>21</v>
      </c>
      <c r="E4" s="25" t="s">
        <v>22</v>
      </c>
      <c r="F4" s="24">
        <v>401</v>
      </c>
      <c r="G4" s="25" t="s">
        <v>23</v>
      </c>
      <c r="H4" s="25" t="s">
        <v>24</v>
      </c>
      <c r="I4" s="25" t="s">
        <v>25</v>
      </c>
    </row>
    <row r="5" spans="1:9">
      <c r="A5" s="24">
        <v>4</v>
      </c>
      <c r="B5" s="24" t="s">
        <v>10</v>
      </c>
      <c r="C5" s="24">
        <v>403</v>
      </c>
      <c r="D5" s="25" t="s">
        <v>26</v>
      </c>
      <c r="E5" s="25" t="s">
        <v>27</v>
      </c>
      <c r="F5" s="24">
        <v>403</v>
      </c>
      <c r="G5" s="25" t="s">
        <v>28</v>
      </c>
      <c r="H5" s="25" t="s">
        <v>29</v>
      </c>
      <c r="I5" s="25" t="s">
        <v>30</v>
      </c>
    </row>
    <row r="6" spans="1:9">
      <c r="A6" s="24">
        <v>5</v>
      </c>
      <c r="B6" s="24" t="s">
        <v>10</v>
      </c>
      <c r="C6" s="24">
        <v>404</v>
      </c>
      <c r="D6" s="25" t="s">
        <v>31</v>
      </c>
      <c r="E6" s="25" t="s">
        <v>32</v>
      </c>
      <c r="F6" s="24">
        <v>200</v>
      </c>
      <c r="G6" s="25" t="s">
        <v>18</v>
      </c>
      <c r="H6" s="25" t="s">
        <v>33</v>
      </c>
      <c r="I6" s="25" t="s">
        <v>34</v>
      </c>
    </row>
    <row r="7" spans="1:9">
      <c r="A7" s="24">
        <v>6</v>
      </c>
      <c r="B7" s="24" t="s">
        <v>10</v>
      </c>
      <c r="C7" s="24">
        <v>405</v>
      </c>
      <c r="D7" s="25" t="s">
        <v>35</v>
      </c>
      <c r="E7" s="25" t="s">
        <v>36</v>
      </c>
      <c r="F7" s="24">
        <v>200</v>
      </c>
      <c r="G7" s="25" t="s">
        <v>18</v>
      </c>
      <c r="H7" s="25" t="s">
        <v>37</v>
      </c>
      <c r="I7" s="25" t="s">
        <v>38</v>
      </c>
    </row>
    <row r="8" spans="1:9">
      <c r="A8" s="24">
        <v>7</v>
      </c>
      <c r="B8" s="24" t="s">
        <v>10</v>
      </c>
      <c r="C8" s="24">
        <v>406</v>
      </c>
      <c r="D8" s="25" t="s">
        <v>39</v>
      </c>
      <c r="E8" s="25" t="s">
        <v>40</v>
      </c>
      <c r="F8" s="24">
        <v>200</v>
      </c>
      <c r="G8" s="25" t="s">
        <v>18</v>
      </c>
      <c r="H8" s="25" t="s">
        <v>41</v>
      </c>
      <c r="I8" s="25" t="s">
        <v>42</v>
      </c>
    </row>
    <row r="9" spans="1:9">
      <c r="A9" s="24">
        <v>8</v>
      </c>
      <c r="B9" s="24" t="s">
        <v>10</v>
      </c>
      <c r="C9" s="24">
        <v>413</v>
      </c>
      <c r="D9" s="25" t="s">
        <v>43</v>
      </c>
      <c r="E9" s="25" t="s">
        <v>44</v>
      </c>
      <c r="F9" s="24">
        <v>200</v>
      </c>
      <c r="G9" s="25" t="s">
        <v>18</v>
      </c>
      <c r="H9" s="25" t="s">
        <v>45</v>
      </c>
      <c r="I9" s="25" t="s">
        <v>46</v>
      </c>
    </row>
    <row r="10" spans="1:9">
      <c r="A10" s="24">
        <v>9</v>
      </c>
      <c r="B10" s="24" t="s">
        <v>10</v>
      </c>
      <c r="C10" s="24">
        <v>415</v>
      </c>
      <c r="D10" s="25" t="s">
        <v>47</v>
      </c>
      <c r="E10" s="25" t="s">
        <v>48</v>
      </c>
      <c r="F10" s="24">
        <v>200</v>
      </c>
      <c r="G10" s="25" t="s">
        <v>18</v>
      </c>
      <c r="H10" s="25" t="s">
        <v>49</v>
      </c>
      <c r="I10" s="25" t="s">
        <v>50</v>
      </c>
    </row>
    <row r="11" spans="1:9">
      <c r="A11" s="24">
        <v>10</v>
      </c>
      <c r="B11" s="24" t="s">
        <v>10</v>
      </c>
      <c r="C11" s="24">
        <v>500</v>
      </c>
      <c r="D11" s="25" t="s">
        <v>51</v>
      </c>
      <c r="E11" s="25" t="s">
        <v>52</v>
      </c>
      <c r="F11" s="24">
        <v>200</v>
      </c>
      <c r="G11" s="25" t="s">
        <v>18</v>
      </c>
      <c r="H11" s="25" t="s">
        <v>53</v>
      </c>
      <c r="I11" s="25" t="s">
        <v>54</v>
      </c>
    </row>
    <row r="12" spans="1:9">
      <c r="A12" s="24">
        <v>11</v>
      </c>
      <c r="B12" s="24" t="s">
        <v>10</v>
      </c>
      <c r="C12" s="24">
        <v>501</v>
      </c>
      <c r="D12" s="25" t="s">
        <v>55</v>
      </c>
      <c r="E12" s="25" t="s">
        <v>56</v>
      </c>
      <c r="F12" s="24">
        <v>200</v>
      </c>
      <c r="G12" s="25" t="s">
        <v>18</v>
      </c>
      <c r="H12" s="25" t="s">
        <v>57</v>
      </c>
      <c r="I12" s="25" t="s">
        <v>58</v>
      </c>
    </row>
    <row r="13" spans="1:9">
      <c r="A13" s="24">
        <v>12</v>
      </c>
      <c r="B13" s="24" t="s">
        <v>59</v>
      </c>
      <c r="C13" s="24">
        <v>1001</v>
      </c>
      <c r="D13" s="25" t="s">
        <v>62</v>
      </c>
      <c r="E13" s="25" t="s">
        <v>76</v>
      </c>
      <c r="F13" s="24">
        <v>200</v>
      </c>
      <c r="G13" s="25" t="s">
        <v>18</v>
      </c>
      <c r="H13" s="25" t="s">
        <v>93</v>
      </c>
      <c r="I13" s="25" t="s">
        <v>106</v>
      </c>
    </row>
    <row r="14" spans="1:9">
      <c r="A14" s="24">
        <v>13</v>
      </c>
      <c r="B14" s="24" t="s">
        <v>59</v>
      </c>
      <c r="C14" s="24">
        <v>1002</v>
      </c>
      <c r="D14" s="25" t="s">
        <v>63</v>
      </c>
      <c r="E14" s="25" t="s">
        <v>77</v>
      </c>
      <c r="F14" s="24">
        <v>200</v>
      </c>
      <c r="G14" s="25" t="s">
        <v>18</v>
      </c>
      <c r="H14" s="25" t="s">
        <v>94</v>
      </c>
      <c r="I14" s="25" t="s">
        <v>107</v>
      </c>
    </row>
    <row r="15" spans="1:9">
      <c r="A15" s="24">
        <v>14</v>
      </c>
      <c r="B15" s="24" t="s">
        <v>59</v>
      </c>
      <c r="C15" s="24">
        <v>1003</v>
      </c>
      <c r="D15" s="25" t="s">
        <v>64</v>
      </c>
      <c r="E15" s="25" t="s">
        <v>78</v>
      </c>
      <c r="F15" s="24">
        <v>200</v>
      </c>
      <c r="G15" s="25" t="s">
        <v>90</v>
      </c>
      <c r="H15" s="25" t="s">
        <v>95</v>
      </c>
      <c r="I15" s="25" t="s">
        <v>108</v>
      </c>
    </row>
    <row r="16" spans="1:9">
      <c r="A16" s="24">
        <v>15</v>
      </c>
      <c r="B16" s="24" t="s">
        <v>59</v>
      </c>
      <c r="C16" s="24">
        <v>1004</v>
      </c>
      <c r="D16" s="25" t="s">
        <v>65</v>
      </c>
      <c r="E16" s="25" t="s">
        <v>79</v>
      </c>
      <c r="F16" s="24">
        <v>401</v>
      </c>
      <c r="G16" s="25" t="s">
        <v>91</v>
      </c>
      <c r="H16" s="25" t="s">
        <v>96</v>
      </c>
      <c r="I16" s="25" t="s">
        <v>109</v>
      </c>
    </row>
    <row r="17" spans="1:9">
      <c r="A17" s="24">
        <v>16</v>
      </c>
      <c r="B17" s="24" t="s">
        <v>59</v>
      </c>
      <c r="C17" s="24">
        <v>1005</v>
      </c>
      <c r="D17" s="25" t="s">
        <v>66</v>
      </c>
      <c r="E17" s="25" t="s">
        <v>80</v>
      </c>
      <c r="F17" s="24">
        <v>401</v>
      </c>
      <c r="G17" s="25" t="s">
        <v>91</v>
      </c>
      <c r="H17" s="25" t="s">
        <v>96</v>
      </c>
      <c r="I17" s="25" t="s">
        <v>110</v>
      </c>
    </row>
    <row r="18" spans="1:9">
      <c r="A18" s="24">
        <v>17</v>
      </c>
      <c r="B18" s="24" t="s">
        <v>59</v>
      </c>
      <c r="C18" s="24">
        <v>1006</v>
      </c>
      <c r="D18" s="25" t="s">
        <v>67</v>
      </c>
      <c r="E18" s="25" t="s">
        <v>81</v>
      </c>
      <c r="F18" s="24">
        <v>200</v>
      </c>
      <c r="G18" s="25" t="s">
        <v>92</v>
      </c>
      <c r="H18" s="25" t="s">
        <v>97</v>
      </c>
      <c r="I18" s="25" t="s">
        <v>111</v>
      </c>
    </row>
    <row r="19" spans="1:9">
      <c r="A19" s="24">
        <v>18</v>
      </c>
      <c r="B19" s="24" t="s">
        <v>59</v>
      </c>
      <c r="C19" s="24">
        <v>1007</v>
      </c>
      <c r="D19" s="25" t="s">
        <v>68</v>
      </c>
      <c r="E19" s="25" t="s">
        <v>82</v>
      </c>
      <c r="F19" s="24">
        <v>200</v>
      </c>
      <c r="G19" s="25" t="s">
        <v>18</v>
      </c>
      <c r="H19" s="25" t="s">
        <v>98</v>
      </c>
      <c r="I19" s="25" t="s">
        <v>112</v>
      </c>
    </row>
    <row r="20" spans="1:9">
      <c r="A20" s="24">
        <v>19</v>
      </c>
      <c r="B20" s="24" t="s">
        <v>60</v>
      </c>
      <c r="C20" s="24">
        <v>2001</v>
      </c>
      <c r="D20" s="25" t="s">
        <v>69</v>
      </c>
      <c r="E20" s="25" t="s">
        <v>83</v>
      </c>
      <c r="F20" s="24">
        <v>200</v>
      </c>
      <c r="G20" s="25" t="s">
        <v>18</v>
      </c>
      <c r="H20" s="25" t="s">
        <v>99</v>
      </c>
      <c r="I20" s="25" t="s">
        <v>113</v>
      </c>
    </row>
    <row r="21" spans="1:9">
      <c r="A21" s="24">
        <v>20</v>
      </c>
      <c r="B21" s="24" t="s">
        <v>60</v>
      </c>
      <c r="C21" s="24">
        <v>2002</v>
      </c>
      <c r="D21" s="25" t="s">
        <v>70</v>
      </c>
      <c r="E21" s="25" t="s">
        <v>84</v>
      </c>
      <c r="F21" s="24">
        <v>200</v>
      </c>
      <c r="G21" s="25" t="s">
        <v>18</v>
      </c>
      <c r="H21" s="25" t="s">
        <v>100</v>
      </c>
      <c r="I21" s="25" t="s">
        <v>114</v>
      </c>
    </row>
    <row r="22" spans="1:9">
      <c r="A22" s="24">
        <v>21</v>
      </c>
      <c r="B22" s="24" t="s">
        <v>60</v>
      </c>
      <c r="C22" s="24">
        <v>2003</v>
      </c>
      <c r="D22" s="25" t="s">
        <v>71</v>
      </c>
      <c r="E22" s="25" t="s">
        <v>85</v>
      </c>
      <c r="F22" s="24">
        <v>200</v>
      </c>
      <c r="G22" s="25" t="s">
        <v>18</v>
      </c>
      <c r="H22" s="25" t="s">
        <v>101</v>
      </c>
      <c r="I22" s="25" t="s">
        <v>115</v>
      </c>
    </row>
    <row r="23" spans="1:9">
      <c r="A23" s="24">
        <v>22</v>
      </c>
      <c r="B23" s="24" t="s">
        <v>60</v>
      </c>
      <c r="C23" s="24">
        <v>2004</v>
      </c>
      <c r="D23" s="25" t="s">
        <v>72</v>
      </c>
      <c r="E23" s="25" t="s">
        <v>86</v>
      </c>
      <c r="F23" s="24">
        <v>200</v>
      </c>
      <c r="G23" s="25" t="s">
        <v>18</v>
      </c>
      <c r="H23" s="25" t="s">
        <v>102</v>
      </c>
      <c r="I23" s="25" t="s">
        <v>116</v>
      </c>
    </row>
    <row r="24" spans="1:9">
      <c r="A24" s="24">
        <v>23</v>
      </c>
      <c r="B24" s="24" t="s">
        <v>61</v>
      </c>
      <c r="C24" s="24">
        <v>3001</v>
      </c>
      <c r="D24" s="25" t="s">
        <v>73</v>
      </c>
      <c r="E24" s="25" t="s">
        <v>87</v>
      </c>
      <c r="F24" s="24">
        <v>200</v>
      </c>
      <c r="G24" s="25" t="s">
        <v>18</v>
      </c>
      <c r="H24" s="25" t="s">
        <v>103</v>
      </c>
      <c r="I24" s="25" t="s">
        <v>117</v>
      </c>
    </row>
    <row r="25" spans="1:9">
      <c r="A25" s="24">
        <v>24</v>
      </c>
      <c r="B25" s="24" t="s">
        <v>61</v>
      </c>
      <c r="C25" s="24">
        <v>3002</v>
      </c>
      <c r="D25" s="25" t="s">
        <v>74</v>
      </c>
      <c r="E25" s="25" t="s">
        <v>88</v>
      </c>
      <c r="F25" s="24">
        <v>200</v>
      </c>
      <c r="G25" s="25" t="s">
        <v>18</v>
      </c>
      <c r="H25" s="25" t="s">
        <v>104</v>
      </c>
      <c r="I25" s="25" t="s">
        <v>118</v>
      </c>
    </row>
    <row r="26" spans="1:9">
      <c r="A26" s="24">
        <v>25</v>
      </c>
      <c r="B26" s="24" t="s">
        <v>61</v>
      </c>
      <c r="C26" s="24">
        <v>3003</v>
      </c>
      <c r="D26" s="25" t="s">
        <v>75</v>
      </c>
      <c r="E26" s="25" t="s">
        <v>89</v>
      </c>
      <c r="F26" s="24">
        <v>200</v>
      </c>
      <c r="G26" s="25" t="s">
        <v>18</v>
      </c>
      <c r="H26" s="25" t="s">
        <v>105</v>
      </c>
      <c r="I26" s="25" t="s">
        <v>119</v>
      </c>
    </row>
    <row r="27" spans="1:9">
      <c r="A27" s="24">
        <v>26</v>
      </c>
      <c r="B27" s="24" t="s">
        <v>120</v>
      </c>
      <c r="C27" s="24">
        <v>4001</v>
      </c>
      <c r="D27" s="25" t="s">
        <v>121</v>
      </c>
      <c r="E27" s="25" t="s">
        <v>133</v>
      </c>
      <c r="F27" s="24">
        <v>200</v>
      </c>
      <c r="G27" s="25" t="s">
        <v>18</v>
      </c>
      <c r="H27" s="25" t="s">
        <v>150</v>
      </c>
      <c r="I27" s="25" t="s">
        <v>162</v>
      </c>
    </row>
    <row r="28" spans="1:9">
      <c r="A28" s="24">
        <v>27</v>
      </c>
      <c r="B28" s="24" t="s">
        <v>120</v>
      </c>
      <c r="C28" s="24">
        <v>4002</v>
      </c>
      <c r="D28" s="25" t="s">
        <v>122</v>
      </c>
      <c r="E28" s="25" t="s">
        <v>134</v>
      </c>
      <c r="F28" s="24">
        <v>200</v>
      </c>
      <c r="G28" s="25" t="s">
        <v>18</v>
      </c>
      <c r="H28" s="25" t="s">
        <v>151</v>
      </c>
      <c r="I28" s="25" t="s">
        <v>163</v>
      </c>
    </row>
    <row r="29" spans="1:9">
      <c r="A29" s="24">
        <v>28</v>
      </c>
      <c r="B29" s="24" t="s">
        <v>120</v>
      </c>
      <c r="C29" s="24">
        <v>4003</v>
      </c>
      <c r="D29" s="25" t="s">
        <v>123</v>
      </c>
      <c r="E29" s="25" t="s">
        <v>135</v>
      </c>
      <c r="F29" s="24">
        <v>200</v>
      </c>
      <c r="G29" s="25" t="s">
        <v>18</v>
      </c>
      <c r="H29" s="25" t="s">
        <v>152</v>
      </c>
      <c r="I29" s="25" t="s">
        <v>164</v>
      </c>
    </row>
    <row r="30" spans="1:9">
      <c r="A30" s="24">
        <v>29</v>
      </c>
      <c r="B30" s="24" t="s">
        <v>120</v>
      </c>
      <c r="C30" s="24">
        <v>4004</v>
      </c>
      <c r="D30" s="25" t="s">
        <v>124</v>
      </c>
      <c r="E30" s="25" t="s">
        <v>136</v>
      </c>
      <c r="F30" s="24">
        <v>200</v>
      </c>
      <c r="G30" s="25" t="s">
        <v>145</v>
      </c>
      <c r="H30" s="25" t="s">
        <v>153</v>
      </c>
      <c r="I30" s="25" t="s">
        <v>165</v>
      </c>
    </row>
    <row r="31" spans="1:9">
      <c r="A31" s="24">
        <v>30</v>
      </c>
      <c r="B31" s="24" t="s">
        <v>120</v>
      </c>
      <c r="C31" s="24">
        <v>4005</v>
      </c>
      <c r="D31" s="25" t="s">
        <v>125</v>
      </c>
      <c r="E31" s="25" t="s">
        <v>137</v>
      </c>
      <c r="F31" s="24">
        <v>200</v>
      </c>
      <c r="G31" s="25" t="s">
        <v>18</v>
      </c>
      <c r="H31" s="25" t="s">
        <v>154</v>
      </c>
      <c r="I31" s="25" t="s">
        <v>166</v>
      </c>
    </row>
    <row r="32" spans="1:9">
      <c r="A32" s="24">
        <v>31</v>
      </c>
      <c r="B32" s="24" t="s">
        <v>120</v>
      </c>
      <c r="C32" s="24">
        <v>4006</v>
      </c>
      <c r="D32" s="25" t="s">
        <v>126</v>
      </c>
      <c r="E32" s="25" t="s">
        <v>138</v>
      </c>
      <c r="F32" s="24">
        <v>200</v>
      </c>
      <c r="G32" s="25" t="s">
        <v>18</v>
      </c>
      <c r="H32" s="25" t="s">
        <v>155</v>
      </c>
      <c r="I32" s="25" t="s">
        <v>167</v>
      </c>
    </row>
    <row r="33" spans="1:9">
      <c r="A33" s="24">
        <v>32</v>
      </c>
      <c r="B33" s="24" t="s">
        <v>120</v>
      </c>
      <c r="C33" s="24">
        <v>4007</v>
      </c>
      <c r="D33" s="25" t="s">
        <v>127</v>
      </c>
      <c r="E33" s="25" t="s">
        <v>139</v>
      </c>
      <c r="F33" s="24">
        <v>200</v>
      </c>
      <c r="G33" s="25" t="s">
        <v>146</v>
      </c>
      <c r="H33" s="25" t="s">
        <v>156</v>
      </c>
      <c r="I33" s="25" t="s">
        <v>168</v>
      </c>
    </row>
    <row r="34" spans="1:9">
      <c r="A34" s="24">
        <v>33</v>
      </c>
      <c r="B34" s="24" t="s">
        <v>120</v>
      </c>
      <c r="C34" s="24">
        <v>4008</v>
      </c>
      <c r="D34" s="25" t="s">
        <v>128</v>
      </c>
      <c r="E34" s="25" t="s">
        <v>140</v>
      </c>
      <c r="F34" s="24">
        <v>200</v>
      </c>
      <c r="G34" s="25" t="s">
        <v>18</v>
      </c>
      <c r="H34" s="25" t="s">
        <v>157</v>
      </c>
      <c r="I34" s="25" t="s">
        <v>169</v>
      </c>
    </row>
    <row r="35" spans="1:9">
      <c r="A35" s="24">
        <v>34</v>
      </c>
      <c r="B35" s="24" t="s">
        <v>120</v>
      </c>
      <c r="C35" s="24">
        <v>4009</v>
      </c>
      <c r="D35" s="25" t="s">
        <v>129</v>
      </c>
      <c r="E35" s="25" t="s">
        <v>141</v>
      </c>
      <c r="F35" s="24">
        <v>200</v>
      </c>
      <c r="G35" s="25" t="s">
        <v>146</v>
      </c>
      <c r="H35" s="25" t="s">
        <v>158</v>
      </c>
      <c r="I35" s="25" t="s">
        <v>170</v>
      </c>
    </row>
    <row r="36" spans="1:9">
      <c r="A36" s="24">
        <v>35</v>
      </c>
      <c r="B36" s="24" t="s">
        <v>120</v>
      </c>
      <c r="C36" s="24">
        <v>4010</v>
      </c>
      <c r="D36" s="25" t="s">
        <v>130</v>
      </c>
      <c r="E36" s="25" t="s">
        <v>142</v>
      </c>
      <c r="F36" s="24">
        <v>200</v>
      </c>
      <c r="G36" s="25" t="s">
        <v>147</v>
      </c>
      <c r="H36" s="25" t="s">
        <v>159</v>
      </c>
      <c r="I36" s="25" t="s">
        <v>171</v>
      </c>
    </row>
    <row r="37" spans="1:9">
      <c r="A37" s="24">
        <v>36</v>
      </c>
      <c r="B37" s="24" t="s">
        <v>120</v>
      </c>
      <c r="C37" s="24">
        <v>4011</v>
      </c>
      <c r="D37" s="25" t="s">
        <v>131</v>
      </c>
      <c r="E37" s="25" t="s">
        <v>143</v>
      </c>
      <c r="F37" s="24">
        <v>200</v>
      </c>
      <c r="G37" s="25" t="s">
        <v>148</v>
      </c>
      <c r="H37" s="25" t="s">
        <v>160</v>
      </c>
      <c r="I37" s="25" t="s">
        <v>172</v>
      </c>
    </row>
    <row r="38" spans="1:9">
      <c r="A38" s="24">
        <v>37</v>
      </c>
      <c r="B38" s="24" t="s">
        <v>120</v>
      </c>
      <c r="C38" s="24">
        <v>4012</v>
      </c>
      <c r="D38" s="25" t="s">
        <v>132</v>
      </c>
      <c r="E38" s="25" t="s">
        <v>144</v>
      </c>
      <c r="F38" s="24">
        <v>200</v>
      </c>
      <c r="G38" s="25" t="s">
        <v>149</v>
      </c>
      <c r="H38" s="25" t="s">
        <v>161</v>
      </c>
      <c r="I38" s="25" t="s">
        <v>173</v>
      </c>
    </row>
    <row r="39" spans="1:9">
      <c r="A39" s="24">
        <v>38</v>
      </c>
      <c r="B39" s="24" t="s">
        <v>174</v>
      </c>
      <c r="C39" s="24">
        <v>5001</v>
      </c>
      <c r="D39" s="25" t="s">
        <v>176</v>
      </c>
      <c r="E39" s="25" t="s">
        <v>182</v>
      </c>
      <c r="F39" s="24">
        <v>200</v>
      </c>
      <c r="G39" s="25" t="s">
        <v>18</v>
      </c>
      <c r="H39" s="25" t="s">
        <v>190</v>
      </c>
      <c r="I39" s="25" t="s">
        <v>196</v>
      </c>
    </row>
    <row r="40" spans="1:9">
      <c r="A40" s="24">
        <v>39</v>
      </c>
      <c r="B40" s="24" t="s">
        <v>174</v>
      </c>
      <c r="C40" s="24">
        <v>5002</v>
      </c>
      <c r="D40" s="25" t="s">
        <v>177</v>
      </c>
      <c r="E40" s="25" t="s">
        <v>183</v>
      </c>
      <c r="F40" s="24">
        <v>200</v>
      </c>
      <c r="G40" s="25" t="s">
        <v>18</v>
      </c>
      <c r="H40" s="25" t="s">
        <v>191</v>
      </c>
      <c r="I40" s="25" t="s">
        <v>197</v>
      </c>
    </row>
    <row r="41" spans="1:9">
      <c r="A41" s="24">
        <v>40</v>
      </c>
      <c r="B41" s="24" t="s">
        <v>174</v>
      </c>
      <c r="C41" s="24">
        <v>5003</v>
      </c>
      <c r="D41" s="25" t="s">
        <v>178</v>
      </c>
      <c r="E41" s="25" t="s">
        <v>184</v>
      </c>
      <c r="F41" s="24">
        <v>200</v>
      </c>
      <c r="G41" s="25" t="s">
        <v>18</v>
      </c>
      <c r="H41" s="25" t="s">
        <v>192</v>
      </c>
      <c r="I41" s="25" t="s">
        <v>198</v>
      </c>
    </row>
    <row r="42" spans="1:9">
      <c r="A42" s="24">
        <v>41</v>
      </c>
      <c r="B42" s="24" t="s">
        <v>175</v>
      </c>
      <c r="C42" s="24">
        <v>6001</v>
      </c>
      <c r="D42" s="25" t="s">
        <v>179</v>
      </c>
      <c r="E42" s="25" t="s">
        <v>185</v>
      </c>
      <c r="F42" s="24">
        <v>200</v>
      </c>
      <c r="G42" s="25" t="s">
        <v>188</v>
      </c>
      <c r="H42" s="25" t="s">
        <v>193</v>
      </c>
      <c r="I42" s="25" t="s">
        <v>199</v>
      </c>
    </row>
    <row r="43" spans="1:9">
      <c r="A43" s="24">
        <v>42</v>
      </c>
      <c r="B43" s="24" t="s">
        <v>175</v>
      </c>
      <c r="C43" s="24">
        <v>6002</v>
      </c>
      <c r="D43" s="25" t="s">
        <v>180</v>
      </c>
      <c r="E43" s="25" t="s">
        <v>186</v>
      </c>
      <c r="F43" s="24">
        <v>200</v>
      </c>
      <c r="G43" s="25" t="s">
        <v>189</v>
      </c>
      <c r="H43" s="25" t="s">
        <v>194</v>
      </c>
      <c r="I43" s="25" t="s">
        <v>200</v>
      </c>
    </row>
    <row r="44" spans="1:9">
      <c r="A44" s="24">
        <v>43</v>
      </c>
      <c r="B44" s="24" t="s">
        <v>175</v>
      </c>
      <c r="C44" s="24">
        <v>6003</v>
      </c>
      <c r="D44" s="25" t="s">
        <v>181</v>
      </c>
      <c r="E44" s="25" t="s">
        <v>187</v>
      </c>
      <c r="F44" s="24">
        <v>200</v>
      </c>
      <c r="G44" s="25" t="s">
        <v>18</v>
      </c>
      <c r="H44" s="25" t="s">
        <v>195</v>
      </c>
      <c r="I44" s="25" t="s">
        <v>201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2026-09-10T16:22:23Z</dcterms:created>
  <dcterms:modified xsi:type="dcterms:W3CDTF">2026-09-10T16:22:23Z</dcterms:modified>
</cp:coreProperties>
</file>